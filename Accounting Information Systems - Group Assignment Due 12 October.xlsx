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ink/ink3.xml" ContentType="application/inkml+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uniwa-my.sharepoint.com/personal/24464404_student_uwa_edu_au/Documents/"/>
    </mc:Choice>
  </mc:AlternateContent>
  <xr:revisionPtr revIDLastSave="0" documentId="8_{8C6FFA35-1E34-40F8-97F9-66C7750984B3}" xr6:coauthVersionLast="47" xr6:coauthVersionMax="47" xr10:uidLastSave="{00000000-0000-0000-0000-000000000000}"/>
  <bookViews>
    <workbookView xWindow="-110" yWindow="-110" windowWidth="25820" windowHeight="15500" firstSheet="2" activeTab="2" xr2:uid="{A3BDE46B-966A-4CA9-BBB3-74793E279B88}"/>
  </bookViews>
  <sheets>
    <sheet name="General Information" sheetId="1" r:id="rId1"/>
    <sheet name="Financial Ratios" sheetId="2" r:id="rId2"/>
    <sheet name="Profitability" sheetId="7" r:id="rId3"/>
    <sheet name="Liquidity" sheetId="6" r:id="rId4"/>
    <sheet name="Solvency" sheetId="8" r:id="rId5"/>
    <sheet name="Market-Based Performance" sheetId="9" r:id="rId6"/>
  </sheets>
  <definedNames>
    <definedName name="Slicer_Row_Labels">#N/A</definedName>
    <definedName name="Slicer_Year">#N/A</definedName>
    <definedName name="Slicer_Year1">#N/A</definedName>
  </definedNames>
  <calcPr calcId="191028"/>
  <pivotCaches>
    <pivotCache cacheId="462" r:id="rId7"/>
    <pivotCache cacheId="463" r:id="rId8"/>
    <pivotCache cacheId="46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9" l="1"/>
  <c r="C33" i="9"/>
  <c r="C32" i="9"/>
  <c r="C40" i="6"/>
  <c r="C39" i="6"/>
  <c r="C38" i="6"/>
  <c r="C37" i="6"/>
  <c r="C36" i="6"/>
  <c r="C35" i="6"/>
  <c r="R15" i="2"/>
  <c r="L401" i="7"/>
  <c r="L400" i="7"/>
  <c r="L399" i="7"/>
  <c r="C31" i="7"/>
  <c r="C32" i="7"/>
  <c r="C33" i="7"/>
  <c r="C34" i="7"/>
  <c r="C35" i="7"/>
  <c r="C36" i="7"/>
  <c r="C37" i="7"/>
  <c r="C38" i="7"/>
  <c r="C32" i="8"/>
  <c r="C33" i="8"/>
  <c r="C34" i="8"/>
  <c r="C35" i="8"/>
  <c r="C36" i="8"/>
  <c r="C37" i="8"/>
  <c r="H5" i="2"/>
  <c r="H4" i="2"/>
  <c r="H3" i="2"/>
  <c r="O3" i="8"/>
  <c r="O4" i="8"/>
  <c r="O5" i="8"/>
  <c r="O7" i="8"/>
  <c r="O8" i="8"/>
  <c r="O9" i="8"/>
  <c r="O11" i="8"/>
  <c r="O12" i="8"/>
  <c r="O13" i="8"/>
  <c r="O15" i="8"/>
  <c r="O16" i="8"/>
  <c r="O17" i="8"/>
  <c r="O19" i="8"/>
  <c r="O20" i="8"/>
  <c r="O21" i="8"/>
  <c r="O23" i="8"/>
  <c r="O24" i="8"/>
  <c r="O25" i="8"/>
  <c r="S3" i="7"/>
  <c r="S4" i="7"/>
  <c r="S5" i="7"/>
  <c r="S7" i="7"/>
  <c r="S8" i="7"/>
  <c r="S9" i="7"/>
  <c r="S11" i="7"/>
  <c r="S12" i="7"/>
  <c r="S13" i="7"/>
  <c r="S15" i="7"/>
  <c r="S16" i="7"/>
  <c r="S17" i="7"/>
  <c r="S19" i="7"/>
  <c r="S20" i="7"/>
  <c r="S21" i="7"/>
  <c r="S23" i="7"/>
  <c r="S24" i="7"/>
  <c r="S25" i="7"/>
  <c r="S27" i="7"/>
  <c r="S28" i="7"/>
  <c r="S29" i="7"/>
  <c r="S31" i="7"/>
  <c r="S32" i="7"/>
  <c r="S33" i="7"/>
  <c r="R12" i="2"/>
  <c r="M23" i="2"/>
  <c r="M24" i="2"/>
  <c r="M25" i="2"/>
  <c r="M41" i="2"/>
  <c r="M37" i="2"/>
  <c r="M9" i="2"/>
  <c r="M8" i="2"/>
  <c r="M7" i="2"/>
  <c r="M3" i="2"/>
  <c r="M40" i="2"/>
  <c r="M21" i="2"/>
  <c r="M20" i="2"/>
  <c r="M19" i="2"/>
  <c r="H41" i="2"/>
  <c r="H40" i="2"/>
  <c r="H20" i="2"/>
  <c r="H39" i="2"/>
  <c r="H38" i="2"/>
  <c r="H37" i="2"/>
  <c r="H36" i="2"/>
  <c r="M39" i="2"/>
  <c r="M38" i="2"/>
  <c r="M36" i="2"/>
  <c r="R21" i="2"/>
  <c r="R20" i="2"/>
  <c r="R19" i="2"/>
  <c r="R40" i="2"/>
  <c r="R39" i="2"/>
  <c r="R16" i="2"/>
  <c r="R17" i="2"/>
  <c r="R38" i="2"/>
  <c r="C43" i="2"/>
  <c r="C42" i="2"/>
  <c r="C41" i="2"/>
  <c r="C38" i="2"/>
  <c r="C40" i="2"/>
  <c r="C39" i="2"/>
  <c r="C12" i="2"/>
  <c r="C37" i="2"/>
  <c r="C36" i="2"/>
  <c r="M16" i="2"/>
  <c r="M15" i="2"/>
  <c r="M17" i="2"/>
  <c r="M13" i="2"/>
  <c r="M11" i="2"/>
  <c r="M12" i="2"/>
  <c r="M5" i="2"/>
  <c r="H9" i="2"/>
  <c r="H8" i="2"/>
  <c r="H25" i="2"/>
  <c r="H24" i="2"/>
  <c r="H23" i="2"/>
  <c r="H21" i="2"/>
  <c r="H19" i="2"/>
  <c r="H17" i="2"/>
  <c r="H16" i="2"/>
  <c r="H13" i="2"/>
  <c r="R13" i="2"/>
  <c r="R11" i="2"/>
  <c r="C20" i="2"/>
  <c r="C21" i="2"/>
  <c r="C19" i="2"/>
  <c r="C31" i="2"/>
  <c r="C32" i="2"/>
  <c r="C33" i="2"/>
  <c r="C29" i="2"/>
  <c r="C27" i="2"/>
  <c r="C28" i="2"/>
  <c r="C16" i="2"/>
  <c r="C17" i="2"/>
  <c r="C15" i="2"/>
  <c r="C23" i="2"/>
  <c r="C13" i="2"/>
  <c r="C11" i="2"/>
  <c r="C24" i="2"/>
  <c r="C9" i="2"/>
  <c r="C8" i="2"/>
  <c r="C7" i="2"/>
  <c r="C5" i="2"/>
  <c r="C4" i="2"/>
  <c r="C3" i="2"/>
  <c r="C25" i="2"/>
  <c r="H15" i="2"/>
  <c r="M4" i="2"/>
  <c r="H7" i="2"/>
  <c r="H12" i="2"/>
  <c r="H11" i="2"/>
</calcChain>
</file>

<file path=xl/sharedStrings.xml><?xml version="1.0" encoding="utf-8"?>
<sst xmlns="http://schemas.openxmlformats.org/spreadsheetml/2006/main" count="220" uniqueCount="109">
  <si>
    <t>Code</t>
  </si>
  <si>
    <t>Name</t>
  </si>
  <si>
    <t>Industry</t>
  </si>
  <si>
    <t>URL</t>
  </si>
  <si>
    <t>MYR</t>
  </si>
  <si>
    <t>MYER HOLDINGS LIMITED</t>
  </si>
  <si>
    <t>Consumer Discretionary (Retail)</t>
  </si>
  <si>
    <t>https://investor.myer.com.au/reports/?page=annual-reports</t>
  </si>
  <si>
    <t>Financial statements for Myer are period ending late July (not June)</t>
  </si>
  <si>
    <t>Annual Reports:</t>
  </si>
  <si>
    <t>https://investor.myer.com.au/FormBuilder/_Resource/_module/8Ui4A1yDKkySwNHUlaYfCQ/file/AGM/MYR3024_Annual_Report_24.pdf</t>
  </si>
  <si>
    <t>https://investor.myer.com.au/FormBuilder/_Resource/_module/dGngnzELxUikQxL5gb1cgA/file/MYR2723_AnnualReport_FA2_Web-Interactive.pdf</t>
  </si>
  <si>
    <t>https://investor.myer.com.au/FormBuilder/_Resource/_module/dGngnzELxUikQxL5gb1cgA/file/Myer_Annual_Report_2022.pdf</t>
  </si>
  <si>
    <t>Myer_Annual_Report_2021.pdf</t>
  </si>
  <si>
    <r>
      <t>Best&amp;Less</t>
    </r>
    <r>
      <rPr>
        <b/>
        <sz val="11"/>
        <color theme="1"/>
        <rFont val="Aptos Narrow"/>
        <family val="2"/>
        <scheme val="minor"/>
      </rPr>
      <t>:</t>
    </r>
  </si>
  <si>
    <t>ASX_BST_2022.pdf</t>
  </si>
  <si>
    <t>Powerpoint includes scripts used in the presentation along with intro and conclusion for marking</t>
  </si>
  <si>
    <t>Myer is a GICS 25 Consumer Discretionary - Large using the Normal category for 2023</t>
  </si>
  <si>
    <t>Profitability Ratios:</t>
  </si>
  <si>
    <t>Year</t>
  </si>
  <si>
    <t>Ratio</t>
  </si>
  <si>
    <t xml:space="preserve">Liquidity Ratios: </t>
  </si>
  <si>
    <t xml:space="preserve">Solvency Ratios: </t>
  </si>
  <si>
    <t>Market-Based Performance Ratios:</t>
  </si>
  <si>
    <t>EBIT Margin (%)</t>
  </si>
  <si>
    <t>Current Ratio</t>
  </si>
  <si>
    <t>Gearing (D/Eq)</t>
  </si>
  <si>
    <t>Basic EPS (cents)</t>
  </si>
  <si>
    <t>(EBIT / Total Revenue)</t>
  </si>
  <si>
    <t>Current Assets (CA) / Current Liabilities (CL)</t>
  </si>
  <si>
    <t>Total Debt / Shareholders' Equity</t>
  </si>
  <si>
    <t>Net Profit Margin (%)</t>
  </si>
  <si>
    <t>Quick Ratio</t>
  </si>
  <si>
    <t>Gearing (D/Eq) (excluding lease liabilities)</t>
  </si>
  <si>
    <t>Share Price</t>
  </si>
  <si>
    <t>(Net Profit / Total Revenue)</t>
  </si>
  <si>
    <t>(CA - Inventory - Prepayments) / CL</t>
  </si>
  <si>
    <t>Share price at end of year</t>
  </si>
  <si>
    <t>ROA (%)</t>
  </si>
  <si>
    <t>Cash Flow Liquidity Ratio</t>
  </si>
  <si>
    <t>Interest Cover</t>
  </si>
  <si>
    <t>Dividend Payout</t>
  </si>
  <si>
    <r>
      <t xml:space="preserve">Net Income / Average Total Assets </t>
    </r>
    <r>
      <rPr>
        <sz val="8"/>
        <color theme="1"/>
        <rFont val="Aptos Narrow"/>
        <family val="2"/>
        <scheme val="minor"/>
      </rPr>
      <t>(ATA)</t>
    </r>
  </si>
  <si>
    <t>Cash and Cash Equivalents / CL</t>
  </si>
  <si>
    <t>EBIT / Interest Expense</t>
  </si>
  <si>
    <t>Dividend per share / EPS</t>
  </si>
  <si>
    <t>ATA = (Assets (yr1) + Assets (yr2)) / 2</t>
  </si>
  <si>
    <t>ROE (%)</t>
  </si>
  <si>
    <t>Days Inventory</t>
  </si>
  <si>
    <t>Equity Ratio</t>
  </si>
  <si>
    <t>P/E Ratio</t>
  </si>
  <si>
    <t>(Net Income / Shareholders Equity)</t>
  </si>
  <si>
    <t>(Average Inventory / COGS) * 365</t>
  </si>
  <si>
    <t>Shareholders' Equity / Total Assets</t>
  </si>
  <si>
    <t>Share Price / EPS</t>
  </si>
  <si>
    <t>Revenue Growth</t>
  </si>
  <si>
    <t>Days Receivables</t>
  </si>
  <si>
    <t>Long-Term Debt-to-Equity Ratio</t>
  </si>
  <si>
    <t>Dividend Yield</t>
  </si>
  <si>
    <r>
      <t xml:space="preserve">(Revenue </t>
    </r>
    <r>
      <rPr>
        <sz val="8"/>
        <color theme="1"/>
        <rFont val="Aptos Narrow"/>
        <family val="2"/>
        <scheme val="minor"/>
      </rPr>
      <t xml:space="preserve">(yr2) </t>
    </r>
    <r>
      <rPr>
        <sz val="11"/>
        <color theme="1"/>
        <rFont val="Aptos Narrow"/>
        <family val="2"/>
        <scheme val="minor"/>
      </rPr>
      <t xml:space="preserve">- Revenue </t>
    </r>
    <r>
      <rPr>
        <sz val="8"/>
        <color theme="1"/>
        <rFont val="Aptos Narrow"/>
        <family val="2"/>
        <scheme val="minor"/>
      </rPr>
      <t>(yr1</t>
    </r>
    <r>
      <rPr>
        <sz val="11"/>
        <color theme="1"/>
        <rFont val="Aptos Narrow"/>
        <family val="2"/>
        <scheme val="minor"/>
      </rPr>
      <t xml:space="preserve">)) / Revenue </t>
    </r>
    <r>
      <rPr>
        <sz val="8"/>
        <color theme="1"/>
        <rFont val="Aptos Narrow"/>
        <family val="2"/>
        <scheme val="minor"/>
      </rPr>
      <t>(yr1)</t>
    </r>
  </si>
  <si>
    <t>(Average Accounts Receivable / Sales) * 365</t>
  </si>
  <si>
    <t>Long-Term Debt / Shareholders' Equity</t>
  </si>
  <si>
    <t>Dividend per share / Share Price</t>
  </si>
  <si>
    <t>Asset Turnover</t>
  </si>
  <si>
    <t>Days Payables</t>
  </si>
  <si>
    <t>Long-Term Debt-to-Equity Ratio (excluding lease liabilities)</t>
  </si>
  <si>
    <t>Net Sales / Average Total Assets</t>
  </si>
  <si>
    <t>(Average Accounts Payable / COGS) * 365</t>
  </si>
  <si>
    <t>Non-Current Asset Turnover</t>
  </si>
  <si>
    <t>Net Sales / Average Total NCAs</t>
  </si>
  <si>
    <t>PPE Turnover</t>
  </si>
  <si>
    <t>Net Sales / Average Total PPE</t>
  </si>
  <si>
    <r>
      <t xml:space="preserve">Best&amp;Less: 2022 </t>
    </r>
    <r>
      <rPr>
        <sz val="11"/>
        <color theme="1"/>
        <rFont val="Aptos Narrow"/>
        <family val="2"/>
        <scheme val="minor"/>
      </rPr>
      <t>(most recent report)</t>
    </r>
  </si>
  <si>
    <t>Quick Asset Ratio</t>
  </si>
  <si>
    <t>Long-Term Debt-to-Equity Ratio (excluding lease L)</t>
  </si>
  <si>
    <t>Liquidity Ratios</t>
  </si>
  <si>
    <t>Ratio Values</t>
  </si>
  <si>
    <t>Quick Asset Ratio (B&amp;L)</t>
  </si>
  <si>
    <t>Days Receivables (B&amp;L)</t>
  </si>
  <si>
    <t>Days Payables (B&amp;L)</t>
  </si>
  <si>
    <t>Days Inventory (B&amp;L)</t>
  </si>
  <si>
    <t>Current Ratio (B&amp;L)</t>
  </si>
  <si>
    <t>Cash Flow Liquidity Ratio (B&amp;L)</t>
  </si>
  <si>
    <t>Cash flow liquidity ratio</t>
  </si>
  <si>
    <t>Best&amp;Less: 2022</t>
  </si>
  <si>
    <t>Cash Flow Liqudity Ratio</t>
  </si>
  <si>
    <t xml:space="preserve"> </t>
  </si>
  <si>
    <t>Best&amp;Less</t>
  </si>
  <si>
    <t>Row Labels</t>
  </si>
  <si>
    <t>Average of Ratio</t>
  </si>
  <si>
    <t>Basic EPS (cents) (B&amp;L)</t>
  </si>
  <si>
    <t>Dividend Payout (B&amp;L)</t>
  </si>
  <si>
    <t>Dividend yield</t>
  </si>
  <si>
    <t>Dividend yield (B&amp;L)</t>
  </si>
  <si>
    <t>P/E ratio</t>
  </si>
  <si>
    <t>P/E ratio (B&amp;L)</t>
  </si>
  <si>
    <t>Share Price (B&amp;L)</t>
  </si>
  <si>
    <t>Dividend Payout Ratio</t>
  </si>
  <si>
    <t>Sum of Dividend Payout</t>
  </si>
  <si>
    <t>Column Labels</t>
  </si>
  <si>
    <t>Best and Less</t>
  </si>
  <si>
    <t>Industry Average</t>
  </si>
  <si>
    <t>Myer</t>
  </si>
  <si>
    <t>Target</t>
  </si>
  <si>
    <t>Grand Total</t>
  </si>
  <si>
    <t>Sum of Industry Average</t>
  </si>
  <si>
    <t>Sum of Myer</t>
  </si>
  <si>
    <t>Sum of Best and Less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</si>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</sst>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2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u/>
      <sz val="11"/>
      <color theme="10"/>
      <name val="Aptos Narrow"/>
      <family val="2"/>
      <scheme val="minor"/>
    </font>
    <font>
      <b/>
      <u/>
      <sz val="11"/>
      <color theme="1"/>
      <name val="Aptos Narrow"/>
      <family val="2"/>
      <scheme val="minor"/>
    </font>
    <font>
      <u/>
      <sz val="11"/>
      <color theme="1"/>
      <name val="Aptos Narrow"/>
      <family val="2"/>
      <scheme val="minor"/>
    </font>
    <font>
      <sz val="9"/>
      <color theme="1"/>
      <name val="Aptos Narrow"/>
      <family val="2"/>
      <scheme val="minor"/>
    </font>
    <font>
      <sz val="8"/>
      <color theme="1"/>
      <name val="Aptos Narrow"/>
      <family val="2"/>
      <scheme val="minor"/>
    </font>
    <font>
      <sz val="12"/>
      <color rgb="FF000000"/>
      <name val="Aptos"/>
      <family val="2"/>
    </font>
    <font>
      <sz val="8"/>
      <name val="Aptos Narrow"/>
      <family val="2"/>
      <scheme val="minor"/>
    </font>
    <font>
      <b/>
      <sz val="12"/>
      <color rgb="FF000000"/>
      <name val="Aptos Narrow"/>
      <family val="2"/>
    </font>
    <font>
      <sz val="12"/>
      <color rgb="FF000000"/>
      <name val="Aptos Narrow"/>
      <family val="2"/>
    </font>
    <font>
      <b/>
      <u/>
      <sz val="11"/>
      <color theme="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C0E6F5"/>
        <bgColor rgb="FFC0E6F5"/>
      </patternFill>
    </fill>
    <fill>
      <patternFill patternType="solid">
        <fgColor theme="7" tint="0.59999389629810485"/>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4"/>
        <bgColor theme="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indexed="64"/>
      </right>
      <top style="thin">
        <color auto="1"/>
      </top>
      <bottom/>
      <diagonal/>
    </border>
    <border>
      <left style="thin">
        <color auto="1"/>
      </left>
      <right style="thin">
        <color indexed="64"/>
      </right>
      <top/>
      <bottom/>
      <diagonal/>
    </border>
    <border>
      <left/>
      <right/>
      <top style="thin">
        <color indexed="64"/>
      </top>
      <bottom/>
      <diagonal/>
    </border>
    <border>
      <left/>
      <right/>
      <top/>
      <bottom style="thin">
        <color rgb="FF44B3E1"/>
      </bottom>
      <diagonal/>
    </border>
    <border>
      <left/>
      <right/>
      <top style="thin">
        <color rgb="FF44B3E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19">
    <xf numFmtId="0" fontId="0" fillId="0" borderId="0" xfId="0"/>
    <xf numFmtId="0" fontId="20" fillId="0" borderId="0" xfId="0" applyFont="1"/>
    <xf numFmtId="0" fontId="1" fillId="12" borderId="10" xfId="21" applyBorder="1"/>
    <xf numFmtId="0" fontId="1" fillId="12" borderId="0" xfId="21"/>
    <xf numFmtId="0" fontId="0" fillId="0" borderId="11" xfId="0" applyBorder="1"/>
    <xf numFmtId="0" fontId="19" fillId="0" borderId="0" xfId="42"/>
    <xf numFmtId="0" fontId="20" fillId="0" borderId="14" xfId="0" applyFont="1" applyBorder="1"/>
    <xf numFmtId="0" fontId="0" fillId="0" borderId="15" xfId="0" applyBorder="1"/>
    <xf numFmtId="0" fontId="0" fillId="0" borderId="16" xfId="0" applyBorder="1"/>
    <xf numFmtId="0" fontId="0" fillId="0" borderId="18" xfId="0" applyBorder="1"/>
    <xf numFmtId="0" fontId="0" fillId="33" borderId="15" xfId="0" applyFill="1" applyBorder="1"/>
    <xf numFmtId="0" fontId="21" fillId="33" borderId="17" xfId="0" applyFont="1" applyFill="1" applyBorder="1"/>
    <xf numFmtId="2" fontId="0" fillId="0" borderId="11" xfId="0" applyNumberFormat="1" applyBorder="1"/>
    <xf numFmtId="0" fontId="22" fillId="0" borderId="18" xfId="0" applyFont="1" applyBorder="1"/>
    <xf numFmtId="0" fontId="0" fillId="0" borderId="13" xfId="0" applyBorder="1"/>
    <xf numFmtId="2" fontId="0" fillId="0" borderId="10" xfId="0" applyNumberFormat="1" applyBorder="1"/>
    <xf numFmtId="0" fontId="0" fillId="33" borderId="17" xfId="0" applyFill="1" applyBorder="1"/>
    <xf numFmtId="0" fontId="0" fillId="33" borderId="12" xfId="0" applyFill="1" applyBorder="1"/>
    <xf numFmtId="0" fontId="0" fillId="33" borderId="18" xfId="0" applyFill="1" applyBorder="1"/>
    <xf numFmtId="2" fontId="0" fillId="33" borderId="12" xfId="0" applyNumberFormat="1" applyFill="1" applyBorder="1"/>
    <xf numFmtId="10" fontId="0" fillId="0" borderId="11" xfId="44" applyNumberFormat="1" applyFont="1" applyBorder="1"/>
    <xf numFmtId="10" fontId="0" fillId="33" borderId="12" xfId="44" applyNumberFormat="1" applyFont="1" applyFill="1" applyBorder="1"/>
    <xf numFmtId="164" fontId="0" fillId="0" borderId="11" xfId="43" applyFont="1" applyBorder="1"/>
    <xf numFmtId="164" fontId="0" fillId="0" borderId="11" xfId="0" applyNumberFormat="1" applyBorder="1"/>
    <xf numFmtId="164" fontId="0" fillId="0" borderId="13" xfId="0" applyNumberFormat="1" applyBorder="1"/>
    <xf numFmtId="0" fontId="0" fillId="0" borderId="17" xfId="0" applyBorder="1" applyAlignment="1">
      <alignment horizontal="center"/>
    </xf>
    <xf numFmtId="0" fontId="0" fillId="0" borderId="12" xfId="0" applyBorder="1" applyAlignment="1">
      <alignment horizontal="center"/>
    </xf>
    <xf numFmtId="0" fontId="20" fillId="0" borderId="11" xfId="0" applyFont="1" applyBorder="1" applyAlignment="1">
      <alignment horizontal="center"/>
    </xf>
    <xf numFmtId="0" fontId="0" fillId="33" borderId="17" xfId="0" applyFill="1" applyBorder="1" applyAlignment="1">
      <alignment horizontal="center"/>
    </xf>
    <xf numFmtId="0" fontId="20" fillId="0" borderId="13" xfId="0" applyFont="1" applyBorder="1" applyAlignment="1">
      <alignment horizontal="center"/>
    </xf>
    <xf numFmtId="0" fontId="20" fillId="0" borderId="18" xfId="0" applyFont="1" applyBorder="1" applyAlignment="1">
      <alignment horizontal="center"/>
    </xf>
    <xf numFmtId="0" fontId="20" fillId="0" borderId="18" xfId="0" applyFont="1" applyBorder="1" applyAlignment="1">
      <alignment horizontal="center" vertical="center"/>
    </xf>
    <xf numFmtId="0" fontId="0" fillId="33" borderId="17" xfId="0" applyFill="1" applyBorder="1" applyAlignment="1">
      <alignment horizontal="center" vertical="center"/>
    </xf>
    <xf numFmtId="0" fontId="20" fillId="33" borderId="17" xfId="0" applyFont="1" applyFill="1" applyBorder="1" applyAlignment="1">
      <alignment horizontal="center" vertical="center"/>
    </xf>
    <xf numFmtId="0" fontId="20" fillId="0" borderId="13" xfId="0" applyFont="1" applyBorder="1" applyAlignment="1">
      <alignment horizontal="center" vertical="center"/>
    </xf>
    <xf numFmtId="2" fontId="0" fillId="33" borderId="0" xfId="0" applyNumberFormat="1" applyFill="1"/>
    <xf numFmtId="2" fontId="0" fillId="0" borderId="0" xfId="0" applyNumberFormat="1"/>
    <xf numFmtId="2" fontId="0" fillId="33" borderId="19" xfId="0" applyNumberFormat="1" applyFill="1" applyBorder="1"/>
    <xf numFmtId="2" fontId="0" fillId="0" borderId="16" xfId="0" applyNumberFormat="1" applyBorder="1"/>
    <xf numFmtId="0" fontId="0" fillId="33" borderId="18" xfId="0" applyFill="1" applyBorder="1" applyAlignment="1">
      <alignment horizontal="center"/>
    </xf>
    <xf numFmtId="2" fontId="0" fillId="0" borderId="13" xfId="0" applyNumberFormat="1" applyBorder="1"/>
    <xf numFmtId="0" fontId="16" fillId="0" borderId="13" xfId="0" applyFont="1" applyBorder="1"/>
    <xf numFmtId="0" fontId="21" fillId="33" borderId="13" xfId="0" applyFont="1" applyFill="1" applyBorder="1"/>
    <xf numFmtId="10" fontId="0" fillId="0" borderId="13" xfId="44" applyNumberFormat="1" applyFont="1" applyBorder="1"/>
    <xf numFmtId="164" fontId="0" fillId="0" borderId="13" xfId="43" applyFont="1" applyBorder="1"/>
    <xf numFmtId="2" fontId="0" fillId="0" borderId="13" xfId="44" applyNumberFormat="1" applyFont="1" applyBorder="1"/>
    <xf numFmtId="0" fontId="0" fillId="0" borderId="19" xfId="0" applyBorder="1"/>
    <xf numFmtId="2" fontId="0" fillId="0" borderId="18" xfId="0" applyNumberFormat="1" applyBorder="1"/>
    <xf numFmtId="0" fontId="20" fillId="0" borderId="18" xfId="0" applyFont="1" applyBorder="1" applyAlignment="1">
      <alignment horizontal="center" vertical="center"/>
      <extLst>
        <ext xmlns:xfpb="http://schemas.microsoft.com/office/spreadsheetml/2022/featurepropertybag" uri="{C7286773-470A-42A8-94C5-96B5CB345126}">
          <xfpb:xfComplement i="0"/>
        </ext>
      </extLst>
    </xf>
    <xf numFmtId="2" fontId="0" fillId="0" borderId="11" xfId="0" applyNumberFormat="1" applyBorder="1">
      <extLst>
        <ext xmlns:xfpb="http://schemas.microsoft.com/office/spreadsheetml/2022/featurepropertybag" uri="{C7286773-470A-42A8-94C5-96B5CB345126}">
          <xfpb:xfComplement i="0"/>
        </ext>
      </extLst>
    </xf>
    <xf numFmtId="0" fontId="20" fillId="0" borderId="13" xfId="0" applyFont="1" applyBorder="1" applyAlignment="1">
      <alignment horizontal="center" vertical="center"/>
      <extLst>
        <ext xmlns:xfpb="http://schemas.microsoft.com/office/spreadsheetml/2022/featurepropertybag" uri="{C7286773-470A-42A8-94C5-96B5CB345126}">
          <xfpb:xfComplement i="0"/>
        </ext>
      </extLst>
    </xf>
    <xf numFmtId="2" fontId="0" fillId="0" borderId="16" xfId="0" applyNumberFormat="1" applyBorder="1">
      <extLst>
        <ext xmlns:xfpb="http://schemas.microsoft.com/office/spreadsheetml/2022/featurepropertybag" uri="{C7286773-470A-42A8-94C5-96B5CB345126}">
          <xfpb:xfComplement i="0"/>
        </ext>
      </extLst>
    </xf>
    <xf numFmtId="0" fontId="24" fillId="0" borderId="0" xfId="0" applyFont="1" applyAlignment="1">
      <alignment horizontal="left" vertical="center" readingOrder="1"/>
    </xf>
    <xf numFmtId="0" fontId="0" fillId="0" borderId="0" xfId="0" pivotButton="1"/>
    <xf numFmtId="0" fontId="16" fillId="0" borderId="18" xfId="0" applyFont="1" applyBorder="1"/>
    <xf numFmtId="0" fontId="16"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10" fontId="26" fillId="35" borderId="21" xfId="0" applyNumberFormat="1" applyFont="1" applyFill="1" applyBorder="1"/>
    <xf numFmtId="0" fontId="26" fillId="35" borderId="21" xfId="0" applyFont="1" applyFill="1" applyBorder="1"/>
    <xf numFmtId="10" fontId="27" fillId="0" borderId="0" xfId="0" applyNumberFormat="1" applyFont="1"/>
    <xf numFmtId="0" fontId="27" fillId="0" borderId="0" xfId="0" applyFont="1"/>
    <xf numFmtId="0" fontId="26" fillId="35" borderId="20" xfId="0" applyFont="1" applyFill="1" applyBorder="1"/>
    <xf numFmtId="0" fontId="26" fillId="35" borderId="0" xfId="0" applyFont="1" applyFill="1"/>
    <xf numFmtId="0" fontId="0" fillId="36" borderId="0" xfId="0" applyFill="1"/>
    <xf numFmtId="0" fontId="0" fillId="37" borderId="0" xfId="0" applyFill="1" applyAlignment="1">
      <alignment horizontal="left"/>
    </xf>
    <xf numFmtId="2" fontId="0" fillId="37" borderId="0" xfId="0" applyNumberFormat="1" applyFill="1"/>
    <xf numFmtId="2" fontId="0" fillId="38" borderId="0" xfId="0" applyNumberFormat="1" applyFill="1"/>
    <xf numFmtId="0" fontId="0" fillId="38" borderId="0" xfId="0" applyFill="1" applyAlignment="1">
      <alignment horizontal="left"/>
    </xf>
    <xf numFmtId="0" fontId="21" fillId="33" borderId="12" xfId="0" applyFont="1" applyFill="1" applyBorder="1"/>
    <xf numFmtId="0" fontId="22" fillId="0" borderId="11" xfId="0" applyFont="1" applyBorder="1"/>
    <xf numFmtId="0" fontId="0" fillId="33" borderId="19" xfId="0" applyFill="1" applyBorder="1"/>
    <xf numFmtId="10" fontId="0" fillId="0" borderId="0" xfId="44" applyNumberFormat="1" applyFont="1" applyBorder="1"/>
    <xf numFmtId="10" fontId="0" fillId="33" borderId="19" xfId="44" applyNumberFormat="1" applyFont="1" applyFill="1" applyBorder="1"/>
    <xf numFmtId="0" fontId="21" fillId="33" borderId="18" xfId="0" applyFont="1" applyFill="1" applyBorder="1"/>
    <xf numFmtId="0" fontId="0" fillId="0" borderId="0" xfId="0" applyAlignment="1">
      <alignment horizontal="left"/>
    </xf>
    <xf numFmtId="0" fontId="18" fillId="0" borderId="22" xfId="0" applyFont="1" applyBorder="1"/>
    <xf numFmtId="0" fontId="19" fillId="0" borderId="23" xfId="42" applyBorder="1"/>
    <xf numFmtId="0" fontId="0" fillId="0" borderId="24" xfId="0" applyBorder="1" applyAlignment="1">
      <alignment horizontal="center"/>
    </xf>
    <xf numFmtId="0" fontId="0" fillId="0" borderId="25" xfId="0" applyBorder="1" applyAlignment="1">
      <alignment horizontal="center"/>
    </xf>
    <xf numFmtId="0" fontId="20" fillId="0" borderId="25" xfId="0" applyFont="1" applyBorder="1"/>
    <xf numFmtId="0" fontId="20" fillId="0" borderId="24" xfId="0" applyFont="1" applyBorder="1"/>
    <xf numFmtId="0" fontId="0" fillId="0" borderId="23" xfId="0" applyBorder="1" applyAlignment="1">
      <alignment horizontal="center"/>
    </xf>
    <xf numFmtId="0" fontId="21" fillId="33" borderId="25" xfId="0" applyFont="1" applyFill="1" applyBorder="1"/>
    <xf numFmtId="0" fontId="16" fillId="0" borderId="25" xfId="0" applyFont="1" applyBorder="1"/>
    <xf numFmtId="10" fontId="0" fillId="0" borderId="25" xfId="44" applyNumberFormat="1" applyFont="1" applyBorder="1"/>
    <xf numFmtId="2" fontId="0" fillId="0" borderId="25" xfId="44" applyNumberFormat="1" applyFont="1" applyBorder="1"/>
    <xf numFmtId="0" fontId="0" fillId="0" borderId="25" xfId="43" applyNumberFormat="1" applyFont="1" applyBorder="1"/>
    <xf numFmtId="0" fontId="0" fillId="33" borderId="25" xfId="0" applyFill="1" applyBorder="1"/>
    <xf numFmtId="0" fontId="0" fillId="0" borderId="26" xfId="0" applyBorder="1"/>
    <xf numFmtId="0" fontId="0" fillId="33" borderId="0" xfId="0" applyFill="1"/>
    <xf numFmtId="0" fontId="20" fillId="0" borderId="26" xfId="0" applyFont="1" applyBorder="1"/>
    <xf numFmtId="10" fontId="0" fillId="0" borderId="27" xfId="44" applyNumberFormat="1" applyFont="1" applyBorder="1"/>
    <xf numFmtId="10" fontId="0" fillId="34" borderId="27" xfId="44" applyNumberFormat="1" applyFont="1" applyFill="1" applyBorder="1"/>
    <xf numFmtId="2" fontId="0" fillId="0" borderId="11" xfId="0" applyNumberFormat="1" applyBorder="1" applyAlignment="1">
      <alignment horizontal="center"/>
    </xf>
    <xf numFmtId="2" fontId="0" fillId="0" borderId="16" xfId="0" applyNumberFormat="1" applyBorder="1" applyAlignment="1">
      <alignment horizontal="center"/>
    </xf>
    <xf numFmtId="0" fontId="0" fillId="33" borderId="12" xfId="0" applyFill="1" applyBorder="1" applyAlignment="1">
      <alignment horizontal="center"/>
    </xf>
    <xf numFmtId="2" fontId="0" fillId="0" borderId="18" xfId="0" applyNumberFormat="1" applyBorder="1" applyAlignment="1">
      <alignment horizontal="center"/>
    </xf>
    <xf numFmtId="2" fontId="0" fillId="0" borderId="13" xfId="0" applyNumberFormat="1" applyBorder="1" applyAlignment="1">
      <alignment horizontal="center"/>
    </xf>
    <xf numFmtId="2" fontId="0" fillId="33" borderId="12" xfId="0" applyNumberFormat="1" applyFill="1" applyBorder="1" applyAlignment="1">
      <alignment horizontal="center"/>
    </xf>
    <xf numFmtId="0" fontId="20" fillId="0" borderId="0" xfId="0" applyFont="1" applyAlignment="1">
      <alignment horizontal="center"/>
    </xf>
    <xf numFmtId="0" fontId="0" fillId="0" borderId="26" xfId="0" applyBorder="1" applyAlignment="1">
      <alignment horizontal="left"/>
    </xf>
    <xf numFmtId="0" fontId="0" fillId="0" borderId="13" xfId="0" applyBorder="1" applyAlignment="1">
      <alignment horizontal="left"/>
    </xf>
    <xf numFmtId="0" fontId="0" fillId="0" borderId="16" xfId="0" applyBorder="1" applyAlignment="1">
      <alignment horizontal="left"/>
    </xf>
    <xf numFmtId="9" fontId="0" fillId="0" borderId="0" xfId="0" applyNumberFormat="1"/>
    <xf numFmtId="9" fontId="0" fillId="0" borderId="0" xfId="44" applyFont="1"/>
    <xf numFmtId="10" fontId="0" fillId="0" borderId="0" xfId="44" applyNumberFormat="1" applyFont="1"/>
    <xf numFmtId="0" fontId="13" fillId="39" borderId="29" xfId="0" applyFont="1" applyFill="1" applyBorder="1"/>
    <xf numFmtId="0" fontId="13" fillId="39" borderId="30" xfId="0" applyFont="1" applyFill="1" applyBorder="1"/>
    <xf numFmtId="164" fontId="0" fillId="0" borderId="0" xfId="0" applyNumberFormat="1"/>
    <xf numFmtId="0" fontId="28" fillId="39" borderId="28" xfId="0" applyFont="1" applyFill="1" applyBorder="1"/>
    <xf numFmtId="0" fontId="16" fillId="34" borderId="25" xfId="0" applyFont="1" applyFill="1" applyBorder="1"/>
    <xf numFmtId="0" fontId="21" fillId="33" borderId="31" xfId="0" applyFont="1" applyFill="1" applyBorder="1"/>
    <xf numFmtId="0" fontId="16" fillId="0" borderId="31" xfId="0" applyFont="1" applyBorder="1"/>
    <xf numFmtId="0" fontId="16" fillId="34" borderId="31" xfId="0" applyFont="1" applyFill="1" applyBorder="1"/>
    <xf numFmtId="0" fontId="16" fillId="34" borderId="25" xfId="0" applyFont="1" applyFill="1" applyBorder="1" applyAlignment="1">
      <alignment horizontal="center"/>
    </xf>
    <xf numFmtId="0" fontId="16" fillId="0" borderId="31" xfId="0" applyFont="1" applyBorder="1" applyAlignment="1">
      <alignment horizontal="center"/>
    </xf>
    <xf numFmtId="0" fontId="16" fillId="34" borderId="31" xfId="0" applyFont="1" applyFill="1" applyBorder="1" applyAlignment="1">
      <alignment horizontal="center"/>
    </xf>
    <xf numFmtId="0" fontId="16" fillId="0" borderId="0" xfId="0"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61">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ertAlign val="baseline"/>
        <sz val="11"/>
        <color theme="1"/>
        <name val="Aptos Narrow"/>
        <family val="2"/>
        <scheme val="minor"/>
      </font>
      <fill>
        <patternFill patternType="solid">
          <fgColor indexed="64"/>
          <bgColor rgb="FFFFFF00"/>
        </patternFill>
      </fill>
      <border diagonalUp="0" diagonalDown="0">
        <left style="thin">
          <color indexed="64"/>
        </left>
        <right style="thin">
          <color indexed="64"/>
        </right>
        <top/>
        <bottom style="thin">
          <color indexed="64"/>
        </bottom>
        <vertical/>
        <horizontal/>
      </border>
    </dxf>
    <dxf>
      <border outline="0">
        <bottom style="thin">
          <color indexed="64"/>
        </bottom>
      </border>
    </dxf>
    <dxf>
      <font>
        <b/>
        <i val="0"/>
        <strike val="0"/>
        <condense val="0"/>
        <extend val="0"/>
        <outline val="0"/>
        <shadow val="0"/>
        <u/>
        <vertAlign val="baseline"/>
        <sz val="11"/>
        <color theme="1"/>
        <name val="Aptos Narrow"/>
        <family val="2"/>
        <scheme val="minor"/>
      </font>
      <alignment horizontal="center" vertical="bottom" textRotation="0" wrapText="0" indent="0" justifyLastLine="0" shrinkToFit="0" readingOrder="0"/>
      <border diagonalUp="0" diagonalDown="0">
        <left style="thin">
          <color auto="1"/>
        </left>
        <right style="thin">
          <color indexed="64"/>
        </right>
        <top/>
        <bottom/>
        <vertical/>
        <horizontal/>
      </border>
    </dxf>
    <dxf>
      <border outline="0">
        <bottom style="thin">
          <color indexed="64"/>
        </bottom>
      </border>
    </dxf>
    <dxf>
      <border outline="0">
        <left style="thin">
          <color auto="1"/>
        </left>
        <top style="thin">
          <color indexed="64"/>
        </top>
        <bottom style="thin">
          <color indexed="64"/>
        </bottom>
      </border>
    </dxf>
    <dxf>
      <numFmt numFmtId="2" formatCode="0.0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ertAlign val="baseline"/>
        <sz val="11"/>
        <color theme="1"/>
        <name val="Aptos Narrow"/>
        <family val="2"/>
        <scheme val="minor"/>
      </font>
      <fill>
        <patternFill patternType="solid">
          <fgColor indexed="64"/>
          <bgColor rgb="FFFFFF00"/>
        </patternFill>
      </fill>
      <border diagonalUp="0" diagonalDown="0">
        <left style="thin">
          <color indexed="64"/>
        </left>
        <right style="thin">
          <color indexed="64"/>
        </right>
        <top/>
        <bottom style="thin">
          <color indexed="64"/>
        </bottom>
        <vertical/>
        <horizontal/>
      </border>
    </dxf>
    <dxf>
      <border outline="0">
        <bottom style="thin">
          <color indexed="64"/>
        </bottom>
      </border>
    </dxf>
    <dxf>
      <numFmt numFmtId="2" formatCode="0.00"/>
    </dxf>
    <dxf>
      <font>
        <b/>
        <i val="0"/>
        <strike val="0"/>
        <condense val="0"/>
        <extend val="0"/>
        <outline val="0"/>
        <shadow val="0"/>
        <u/>
        <vertAlign val="baseline"/>
        <sz val="11"/>
        <color theme="1"/>
        <name val="Aptos Narrow"/>
        <family val="2"/>
        <scheme val="minor"/>
      </font>
      <alignment horizontal="center" vertical="bottom" textRotation="0" wrapText="0" indent="0" justifyLastLine="0" shrinkToFit="0" readingOrder="0"/>
      <border diagonalUp="0" diagonalDown="0">
        <left/>
        <right style="thin">
          <color indexed="64"/>
        </right>
        <top/>
        <bottom/>
        <vertical/>
        <horizontal/>
      </border>
    </dxf>
    <dxf>
      <border diagonalUp="0" diagonalDown="0">
        <left/>
        <right style="thin">
          <color indexed="64"/>
        </right>
        <top/>
        <bottom/>
        <vertical/>
        <horizontal/>
      </border>
    </dxf>
    <dxf>
      <border outline="0">
        <left style="thin">
          <color indexed="64"/>
        </left>
        <right style="thin">
          <color indexed="64"/>
        </right>
        <top style="thin">
          <color auto="1"/>
        </top>
        <bottom style="thin">
          <color indexed="64"/>
        </bottom>
      </border>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fill>
        <patternFill patternType="solid">
          <bgColor theme="4"/>
        </patternFill>
      </fill>
    </dxf>
    <dxf>
      <fill>
        <patternFill>
          <bgColor theme="7" tint="0.59999389629810485"/>
        </patternFill>
      </fill>
    </dxf>
    <dxf>
      <fill>
        <patternFill patternType="solid">
          <bgColor theme="7"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numFmt numFmtId="2" formatCode="0.00"/>
    </dxf>
    <dxf>
      <numFmt numFmtId="2" formatCode="0.00"/>
    </dxf>
  </dxfs>
  <tableStyles count="0" defaultTableStyle="TableStyleMedium2" defaultPivotStyle="PivotStyleLight16"/>
  <colors>
    <mruColors>
      <color rgb="FFB212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EBIT Margin </a:t>
            </a:r>
          </a:p>
        </c:rich>
      </c:tx>
      <c:layout>
        <c:manualLayout>
          <c:xMode val="edge"/>
          <c:yMode val="edge"/>
          <c:x val="0.45473982956736536"/>
          <c:y val="2.0801845631469099E-2"/>
        </c:manualLayout>
      </c:layout>
      <c:overlay val="0"/>
      <c:spPr>
        <a:solidFill>
          <a:schemeClr val="tx2">
            <a:lumMod val="50000"/>
            <a:lumOff val="50000"/>
          </a:schemeClr>
        </a:solidFill>
        <a:ln>
          <a:solidFill>
            <a:srgbClr val="104861"/>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12700">
              <a:solidFill>
                <a:schemeClr val="bg1"/>
              </a:solidFill>
            </a:ln>
            <a:effectLst/>
          </c:spPr>
          <c:invertIfNegative val="0"/>
          <c:dPt>
            <c:idx val="3"/>
            <c:invertIfNegative val="0"/>
            <c:bubble3D val="0"/>
            <c:spPr>
              <a:solidFill>
                <a:schemeClr val="accent5"/>
              </a:solidFill>
              <a:ln w="12700">
                <a:solidFill>
                  <a:schemeClr val="bg1"/>
                </a:solidFill>
              </a:ln>
              <a:effectLst/>
            </c:spPr>
            <c:extLst>
              <c:ext xmlns:c16="http://schemas.microsoft.com/office/drawing/2014/chart" uri="{C3380CC4-5D6E-409C-BE32-E72D297353CC}">
                <c16:uniqueId val="{00000006-B671-4260-8399-6619E688743E}"/>
              </c:ext>
            </c:extLst>
          </c:dPt>
          <c:dLbls>
            <c:spPr>
              <a:solidFill>
                <a:schemeClr val="bg1"/>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4"/>
              <c:pt idx="0">
                <c:v>7.36</c:v>
              </c:pt>
              <c:pt idx="1">
                <c:v>7.1</c:v>
              </c:pt>
              <c:pt idx="2">
                <c:v>6.14</c:v>
              </c:pt>
              <c:pt idx="3">
                <c:v>11.6</c:v>
              </c:pt>
            </c:numLit>
          </c:val>
          <c:extLst>
            <c:ext xmlns:c16="http://schemas.microsoft.com/office/drawing/2014/chart" uri="{C3380CC4-5D6E-409C-BE32-E72D297353CC}">
              <c16:uniqueId val="{00000000-3FD3-4B21-A3B5-C1BA138D9EB2}"/>
            </c:ext>
          </c:extLst>
        </c:ser>
        <c:dLbls>
          <c:showLegendKey val="0"/>
          <c:showVal val="0"/>
          <c:showCatName val="0"/>
          <c:showSerName val="0"/>
          <c:showPercent val="0"/>
          <c:showBubbleSize val="0"/>
        </c:dLbls>
        <c:gapWidth val="49"/>
        <c:overlap val="-30"/>
        <c:axId val="552473096"/>
        <c:axId val="552475144"/>
      </c:barChart>
      <c:catAx>
        <c:axId val="5524730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475144"/>
        <c:crosses val="autoZero"/>
        <c:auto val="1"/>
        <c:lblAlgn val="ctr"/>
        <c:lblOffset val="100"/>
        <c:noMultiLvlLbl val="0"/>
      </c:catAx>
      <c:valAx>
        <c:axId val="55247514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Margin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473096"/>
        <c:crosses val="autoZero"/>
        <c:crossBetween val="between"/>
      </c:valAx>
      <c:spPr>
        <a:noFill/>
        <a:ln>
          <a:noFill/>
        </a:ln>
        <a:effectLst/>
      </c:spPr>
    </c:plotArea>
    <c:plotVisOnly val="1"/>
    <c:dispBlanksAs val="gap"/>
    <c:showDLblsOverMax val="0"/>
  </c:chart>
  <c:spPr>
    <a:solidFill>
      <a:srgbClr val="0E2841"/>
    </a:solidFill>
    <a:ln w="9525" cap="flat" cmpd="sng" algn="ctr">
      <a:solidFill>
        <a:srgbClr val="0070BF"/>
      </a:solidFill>
      <a:prstDash val="solid"/>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Net Profit Margin</a:t>
            </a:r>
          </a:p>
        </c:rich>
      </c:tx>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v>Field2</c:v>
          </c:tx>
          <c:spPr>
            <a:solidFill>
              <a:schemeClr val="accent1"/>
            </a:solidFill>
            <a:ln w="12700">
              <a:solidFill>
                <a:schemeClr val="bg1"/>
              </a:solidFill>
            </a:ln>
            <a:effectLst/>
          </c:spPr>
          <c:invertIfNegative val="0"/>
          <c:dPt>
            <c:idx val="3"/>
            <c:invertIfNegative val="0"/>
            <c:bubble3D val="0"/>
            <c:spPr>
              <a:solidFill>
                <a:schemeClr val="accent5"/>
              </a:solidFill>
              <a:ln w="12700">
                <a:solidFill>
                  <a:schemeClr val="bg1"/>
                </a:solidFill>
              </a:ln>
              <a:effectLst/>
            </c:spPr>
            <c:extLst>
              <c:ext xmlns:c16="http://schemas.microsoft.com/office/drawing/2014/chart" uri="{C3380CC4-5D6E-409C-BE32-E72D297353CC}">
                <c16:uniqueId val="{00000000-D898-4887-A942-4B7AE8635DE3}"/>
              </c:ext>
            </c:extLst>
          </c:dPt>
          <c:dLbls>
            <c:spPr>
              <a:solidFill>
                <a:srgbClr val="FFFFFF"/>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4"/>
              <c:pt idx="0">
                <c:v>2.41</c:v>
              </c:pt>
              <c:pt idx="1">
                <c:v>2.57</c:v>
              </c:pt>
              <c:pt idx="2">
                <c:v>1.98</c:v>
              </c:pt>
              <c:pt idx="3">
                <c:v>6.9</c:v>
              </c:pt>
            </c:numLit>
          </c:val>
          <c:extLst>
            <c:ext xmlns:c16="http://schemas.microsoft.com/office/drawing/2014/chart" uri="{C3380CC4-5D6E-409C-BE32-E72D297353CC}">
              <c16:uniqueId val="{00000000-E370-4445-A12B-B8B5F337E73D}"/>
            </c:ext>
          </c:extLst>
        </c:ser>
        <c:dLbls>
          <c:showLegendKey val="0"/>
          <c:showVal val="0"/>
          <c:showCatName val="0"/>
          <c:showSerName val="0"/>
          <c:showPercent val="0"/>
          <c:showBubbleSize val="0"/>
        </c:dLbls>
        <c:gapWidth val="33"/>
        <c:overlap val="-30"/>
        <c:axId val="552475144"/>
        <c:axId val="552477704"/>
      </c:barChart>
      <c:catAx>
        <c:axId val="55247514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393939"/>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477704"/>
        <c:crosses val="autoZero"/>
        <c:auto val="1"/>
        <c:lblAlgn val="ctr"/>
        <c:lblOffset val="100"/>
        <c:noMultiLvlLbl val="0"/>
      </c:catAx>
      <c:valAx>
        <c:axId val="552477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Margin (%)</a:t>
                </a:r>
              </a:p>
            </c:rich>
          </c:tx>
          <c:layout>
            <c:manualLayout>
              <c:xMode val="edge"/>
              <c:yMode val="edge"/>
              <c:x val="0.43075630515623409"/>
              <c:y val="0.862117409341350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475144"/>
        <c:crosses val="autoZero"/>
        <c:crossBetween val="between"/>
      </c:valAx>
      <c:spPr>
        <a:noFill/>
        <a:ln>
          <a:noFill/>
        </a:ln>
        <a:effectLst/>
      </c:spPr>
    </c:plotArea>
    <c:plotVisOnly val="1"/>
    <c:dispBlanksAs val="gap"/>
    <c:showDLblsOverMax val="0"/>
  </c:chart>
  <c:spPr>
    <a:solidFill>
      <a:srgbClr val="0E284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Revenue Growth</a:t>
            </a:r>
          </a:p>
        </c:rich>
      </c:tx>
      <c:overlay val="0"/>
      <c:spPr>
        <a:solidFill>
          <a:srgbClr val="4D93D9"/>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3"/>
          <c:order val="0"/>
          <c:tx>
            <c:v>Best&amp;Less</c:v>
          </c:tx>
          <c:spPr>
            <a:solidFill>
              <a:schemeClr val="accent4"/>
            </a:solidFill>
            <a:ln w="12700">
              <a:solidFill>
                <a:schemeClr val="lt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Profitability!$C$35</c:f>
              <c:numCache>
                <c:formatCode>0.00%</c:formatCode>
                <c:ptCount val="1"/>
                <c:pt idx="0">
                  <c:v>8.0042217018388359E-2</c:v>
                </c:pt>
              </c:numCache>
            </c:numRef>
          </c:val>
          <c:extLst>
            <c:ext xmlns:c16="http://schemas.microsoft.com/office/drawing/2014/chart" uri="{C3380CC4-5D6E-409C-BE32-E72D297353CC}">
              <c16:uniqueId val="{00000009-F7BC-4078-AF06-6AC316635129}"/>
            </c:ext>
          </c:extLst>
        </c:ser>
        <c:ser>
          <c:idx val="2"/>
          <c:order val="1"/>
          <c:tx>
            <c:strRef>
              <c:f>'Financial Ratios'!$B$21</c:f>
              <c:strCache>
                <c:ptCount val="1"/>
                <c:pt idx="0">
                  <c:v>2022</c:v>
                </c:pt>
              </c:strCache>
            </c:strRef>
          </c:tx>
          <c:spPr>
            <a:solidFill>
              <a:schemeClr val="accent3"/>
            </a:solidFill>
            <a:ln w="12700">
              <a:solidFill>
                <a:schemeClr val="lt1"/>
              </a:solidFill>
            </a:ln>
            <a:effectLst/>
          </c:spPr>
          <c:invertIfNegative val="0"/>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2875-4E30-9510-EF23CF9B1B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pt idx="0">
                <c:v>1</c:v>
              </c:pt>
            </c:numLit>
          </c:cat>
          <c:val>
            <c:numRef>
              <c:f>'Financial Ratios'!$C$21</c:f>
              <c:numCache>
                <c:formatCode>0.00%</c:formatCode>
                <c:ptCount val="1"/>
                <c:pt idx="0">
                  <c:v>0.11193565588339854</c:v>
                </c:pt>
              </c:numCache>
            </c:numRef>
          </c:val>
          <c:extLst>
            <c:ext xmlns:c16="http://schemas.microsoft.com/office/drawing/2014/chart" uri="{C3380CC4-5D6E-409C-BE32-E72D297353CC}">
              <c16:uniqueId val="{00000007-7946-4F0E-B06D-712D9F3FBD79}"/>
            </c:ext>
          </c:extLst>
        </c:ser>
        <c:ser>
          <c:idx val="1"/>
          <c:order val="2"/>
          <c:tx>
            <c:strRef>
              <c:f>'Financial Ratios'!$B$20</c:f>
              <c:strCache>
                <c:ptCount val="1"/>
                <c:pt idx="0">
                  <c:v>2023</c:v>
                </c:pt>
              </c:strCache>
            </c:strRef>
          </c:tx>
          <c:spPr>
            <a:solidFill>
              <a:schemeClr val="accent2"/>
            </a:solidFill>
            <a:ln w="12700">
              <a:solidFill>
                <a:schemeClr val="lt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pt idx="0">
                <c:v>1</c:v>
              </c:pt>
            </c:numLit>
          </c:cat>
          <c:val>
            <c:numRef>
              <c:f>'Financial Ratios'!$C$20</c:f>
              <c:numCache>
                <c:formatCode>0.00%</c:formatCode>
                <c:ptCount val="1"/>
                <c:pt idx="0">
                  <c:v>0.10506334172561228</c:v>
                </c:pt>
              </c:numCache>
            </c:numRef>
          </c:val>
          <c:extLst>
            <c:ext xmlns:c16="http://schemas.microsoft.com/office/drawing/2014/chart" uri="{C3380CC4-5D6E-409C-BE32-E72D297353CC}">
              <c16:uniqueId val="{00000006-7946-4F0E-B06D-712D9F3FBD79}"/>
            </c:ext>
          </c:extLst>
        </c:ser>
        <c:ser>
          <c:idx val="0"/>
          <c:order val="3"/>
          <c:tx>
            <c:strRef>
              <c:f>'Financial Ratios'!$B$19</c:f>
              <c:strCache>
                <c:ptCount val="1"/>
                <c:pt idx="0">
                  <c:v>2024</c:v>
                </c:pt>
              </c:strCache>
            </c:strRef>
          </c:tx>
          <c:spPr>
            <a:solidFill>
              <a:schemeClr val="accent1"/>
            </a:solidFill>
            <a:ln w="12700">
              <a:solidFill>
                <a:schemeClr val="lt1"/>
              </a:solidFill>
            </a:ln>
            <a:effectLst/>
          </c:spPr>
          <c:invertIfNegative val="0"/>
          <c:dPt>
            <c:idx val="0"/>
            <c:invertIfNegative val="0"/>
            <c:bubble3D val="0"/>
            <c:spPr>
              <a:solidFill>
                <a:schemeClr val="accent1"/>
              </a:solidFill>
              <a:ln w="12700">
                <a:solidFill>
                  <a:schemeClr val="lt1"/>
                </a:solidFill>
              </a:ln>
              <a:effectLst/>
            </c:spPr>
            <c:extLst>
              <c:ext xmlns:c16="http://schemas.microsoft.com/office/drawing/2014/chart" uri="{C3380CC4-5D6E-409C-BE32-E72D297353CC}">
                <c16:uniqueId val="{00000001-4952-43C2-8C90-41C2AE2FBC42}"/>
              </c:ext>
            </c:extLst>
          </c:dPt>
          <c:dPt>
            <c:idx val="1"/>
            <c:invertIfNegative val="0"/>
            <c:bubble3D val="0"/>
            <c:spPr>
              <a:solidFill>
                <a:schemeClr val="accent1"/>
              </a:solidFill>
              <a:ln w="12700">
                <a:solidFill>
                  <a:schemeClr val="lt1"/>
                </a:solidFill>
              </a:ln>
              <a:effectLst/>
            </c:spPr>
            <c:extLst>
              <c:ext xmlns:c16="http://schemas.microsoft.com/office/drawing/2014/chart" uri="{C3380CC4-5D6E-409C-BE32-E72D297353CC}">
                <c16:uniqueId val="{00000003-4952-43C2-8C90-41C2AE2FBC42}"/>
              </c:ext>
            </c:extLst>
          </c:dPt>
          <c:dPt>
            <c:idx val="2"/>
            <c:invertIfNegative val="0"/>
            <c:bubble3D val="0"/>
            <c:spPr>
              <a:solidFill>
                <a:schemeClr val="accent1"/>
              </a:solidFill>
              <a:ln w="12700">
                <a:solidFill>
                  <a:schemeClr val="lt1"/>
                </a:solidFill>
              </a:ln>
              <a:effectLst/>
            </c:spPr>
            <c:extLst>
              <c:ext xmlns:c16="http://schemas.microsoft.com/office/drawing/2014/chart" uri="{C3380CC4-5D6E-409C-BE32-E72D297353CC}">
                <c16:uniqueId val="{00000005-4952-43C2-8C90-41C2AE2FBC42}"/>
              </c:ext>
            </c:extLst>
          </c:dPt>
          <c:dLbls>
            <c:spPr>
              <a:solidFill>
                <a:srgbClr val="FFFFFF"/>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pt idx="0">
                <c:v>1</c:v>
              </c:pt>
            </c:numLit>
          </c:cat>
          <c:val>
            <c:numRef>
              <c:f>'Financial Ratios'!$C$19</c:f>
              <c:numCache>
                <c:formatCode>0.00%</c:formatCode>
                <c:ptCount val="1"/>
                <c:pt idx="0">
                  <c:v>-4.1696803124547856E-2</c:v>
                </c:pt>
              </c:numCache>
            </c:numRef>
          </c:val>
          <c:extLst>
            <c:ext xmlns:c16="http://schemas.microsoft.com/office/drawing/2014/chart" uri="{C3380CC4-5D6E-409C-BE32-E72D297353CC}">
              <c16:uniqueId val="{00000006-4952-43C2-8C90-41C2AE2FBC42}"/>
            </c:ext>
          </c:extLst>
        </c:ser>
        <c:ser>
          <c:idx val="4"/>
          <c:order val="4"/>
          <c:tx>
            <c:v>Benchmark</c:v>
          </c:tx>
          <c:spPr>
            <a:solidFill>
              <a:schemeClr val="accent5"/>
            </a:solidFill>
            <a:ln w="19050">
              <a:solidFill>
                <a:schemeClr val="lt1"/>
              </a:solid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Profitability!$F$165</c:f>
              <c:numCache>
                <c:formatCode>0.00%</c:formatCode>
                <c:ptCount val="1"/>
                <c:pt idx="0">
                  <c:v>0.112</c:v>
                </c:pt>
              </c:numCache>
            </c:numRef>
          </c:val>
          <c:extLst>
            <c:ext xmlns:c16="http://schemas.microsoft.com/office/drawing/2014/chart" uri="{C3380CC4-5D6E-409C-BE32-E72D297353CC}">
              <c16:uniqueId val="{00000007-1DBA-4756-A72C-780C6FC3B84B}"/>
            </c:ext>
          </c:extLst>
        </c:ser>
        <c:dLbls>
          <c:showLegendKey val="0"/>
          <c:showVal val="0"/>
          <c:showCatName val="0"/>
          <c:showSerName val="0"/>
          <c:showPercent val="0"/>
          <c:showBubbleSize val="0"/>
        </c:dLbls>
        <c:gapWidth val="100"/>
        <c:axId val="1055403952"/>
        <c:axId val="1055406352"/>
      </c:barChart>
      <c:catAx>
        <c:axId val="1055403952"/>
        <c:scaling>
          <c:orientation val="minMax"/>
        </c:scaling>
        <c:delete val="1"/>
        <c:axPos val="b"/>
        <c:numFmt formatCode="General" sourceLinked="1"/>
        <c:majorTickMark val="out"/>
        <c:minorTickMark val="none"/>
        <c:tickLblPos val="nextTo"/>
        <c:crossAx val="1055406352"/>
        <c:crosses val="autoZero"/>
        <c:auto val="1"/>
        <c:lblAlgn val="ctr"/>
        <c:lblOffset val="100"/>
        <c:noMultiLvlLbl val="0"/>
      </c:catAx>
      <c:valAx>
        <c:axId val="105540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t>Growth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40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Return On Assets</a:t>
            </a:r>
          </a:p>
        </c:rich>
      </c:tx>
      <c:layout>
        <c:manualLayout>
          <c:xMode val="edge"/>
          <c:yMode val="edge"/>
          <c:x val="0.35751083526498639"/>
          <c:y val="3.1635925292159119E-2"/>
        </c:manualLayout>
      </c:layout>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Best&amp;Less</c:v>
          </c:tx>
          <c:spPr>
            <a:solidFill>
              <a:schemeClr val="accent2"/>
            </a:solidFill>
            <a:ln>
              <a:noFill/>
            </a:ln>
            <a:effectLst/>
          </c:spPr>
          <c:invertIfNegative val="0"/>
          <c:dPt>
            <c:idx val="0"/>
            <c:invertIfNegative val="0"/>
            <c:bubble3D val="0"/>
            <c:spPr>
              <a:solidFill>
                <a:schemeClr val="accent4"/>
              </a:solidFill>
              <a:ln w="12700">
                <a:solidFill>
                  <a:schemeClr val="bg1"/>
                </a:solidFill>
              </a:ln>
              <a:effectLst/>
            </c:spPr>
            <c:extLst>
              <c:ext xmlns:c16="http://schemas.microsoft.com/office/drawing/2014/chart" uri="{C3380CC4-5D6E-409C-BE32-E72D297353CC}">
                <c16:uniqueId val="{00000003-DA99-4462-BC41-5DBFE3C911A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Profitability!$C$33</c:f>
              <c:numCache>
                <c:formatCode>0.00%</c:formatCode>
                <c:ptCount val="1"/>
                <c:pt idx="0">
                  <c:v>0.1003716025603611</c:v>
                </c:pt>
              </c:numCache>
            </c:numRef>
          </c:val>
          <c:extLst>
            <c:ext xmlns:c16="http://schemas.microsoft.com/office/drawing/2014/chart" uri="{C3380CC4-5D6E-409C-BE32-E72D297353CC}">
              <c16:uniqueId val="{00000002-DA99-4462-BC41-5DBFE3C911AE}"/>
            </c:ext>
          </c:extLst>
        </c:ser>
        <c:dLbls>
          <c:showLegendKey val="0"/>
          <c:showVal val="1"/>
          <c:showCatName val="0"/>
          <c:showSerName val="0"/>
          <c:showPercent val="0"/>
          <c:showBubbleSize val="0"/>
        </c:dLbls>
        <c:gapWidth val="150"/>
        <c:axId val="106505736"/>
        <c:axId val="106514952"/>
      </c:barChart>
      <c:lineChart>
        <c:grouping val="standard"/>
        <c:varyColors val="0"/>
        <c:ser>
          <c:idx val="0"/>
          <c:order val="0"/>
          <c:tx>
            <c:v>Myer</c:v>
          </c:tx>
          <c:spPr>
            <a:ln w="28575" cap="rnd">
              <a:solidFill>
                <a:srgbClr val="637CEF"/>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Ref>
              <c:f>Profitability!$K$399:$K$401</c:f>
              <c:numCache>
                <c:formatCode>0.00%</c:formatCode>
                <c:ptCount val="3"/>
                <c:pt idx="0">
                  <c:v>2.4E-2</c:v>
                </c:pt>
                <c:pt idx="1">
                  <c:v>2.8500000000000001E-2</c:v>
                </c:pt>
                <c:pt idx="2">
                  <c:v>2.1899999999999999E-2</c:v>
                </c:pt>
              </c:numCache>
            </c:numRef>
          </c:val>
          <c:smooth val="0"/>
          <c:extLst>
            <c:ext xmlns:c16="http://schemas.microsoft.com/office/drawing/2014/chart" uri="{C3380CC4-5D6E-409C-BE32-E72D297353CC}">
              <c16:uniqueId val="{00000000-DCE1-4911-8BA6-10C916A6B110}"/>
            </c:ext>
          </c:extLst>
        </c:ser>
        <c:dLbls>
          <c:showLegendKey val="0"/>
          <c:showVal val="1"/>
          <c:showCatName val="0"/>
          <c:showSerName val="0"/>
          <c:showPercent val="0"/>
          <c:showBubbleSize val="0"/>
        </c:dLbls>
        <c:marker val="1"/>
        <c:smooth val="0"/>
        <c:axId val="106505736"/>
        <c:axId val="106514952"/>
      </c:lineChart>
      <c:catAx>
        <c:axId val="106505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14952"/>
        <c:crosses val="autoZero"/>
        <c:auto val="1"/>
        <c:lblAlgn val="ctr"/>
        <c:lblOffset val="100"/>
        <c:noMultiLvlLbl val="0"/>
      </c:catAx>
      <c:valAx>
        <c:axId val="106514952"/>
        <c:scaling>
          <c:orientation val="minMax"/>
          <c:max val="0.1100000000000000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ROA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05736"/>
        <c:crosses val="autoZero"/>
        <c:crossBetween val="between"/>
        <c:majorUnit val="1.0000000000000002E-2"/>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Return On Equity</a:t>
            </a:r>
          </a:p>
        </c:rich>
      </c:tx>
      <c:layout>
        <c:manualLayout>
          <c:xMode val="edge"/>
          <c:yMode val="edge"/>
          <c:x val="0.3720074592360228"/>
          <c:y val="4.2168055212312303E-2"/>
        </c:manualLayout>
      </c:layout>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Best&amp;Less</c:v>
          </c:tx>
          <c:spPr>
            <a:solidFill>
              <a:schemeClr val="accent4"/>
            </a:solidFill>
            <a:ln w="12700">
              <a:solidFill>
                <a:schemeClr val="bg1"/>
              </a:solidFill>
            </a:ln>
            <a:effectLst/>
          </c:spPr>
          <c:invertIfNegative val="0"/>
          <c:dPt>
            <c:idx val="1"/>
            <c:invertIfNegative val="0"/>
            <c:bubble3D val="0"/>
            <c:spPr>
              <a:solidFill>
                <a:schemeClr val="accent5"/>
              </a:solidFill>
              <a:ln w="12700">
                <a:solidFill>
                  <a:schemeClr val="bg1"/>
                </a:solidFill>
              </a:ln>
              <a:effectLst/>
            </c:spPr>
            <c:extLst>
              <c:ext xmlns:c16="http://schemas.microsoft.com/office/drawing/2014/chart" uri="{C3380CC4-5D6E-409C-BE32-E72D297353CC}">
                <c16:uniqueId val="{00000003-AA1B-46BE-9233-9ADD88C4DC7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2"/>
              <c:pt idx="0">
                <c:v>0.49659999999999999</c:v>
              </c:pt>
              <c:pt idx="1">
                <c:v>0.159</c:v>
              </c:pt>
            </c:numLit>
          </c:val>
          <c:extLst>
            <c:ext xmlns:c16="http://schemas.microsoft.com/office/drawing/2014/chart" uri="{C3380CC4-5D6E-409C-BE32-E72D297353CC}">
              <c16:uniqueId val="{00000000-4076-4684-8550-47C6B80BD4F8}"/>
            </c:ext>
          </c:extLst>
        </c:ser>
        <c:dLbls>
          <c:showLegendKey val="0"/>
          <c:showVal val="0"/>
          <c:showCatName val="0"/>
          <c:showSerName val="0"/>
          <c:showPercent val="0"/>
          <c:showBubbleSize val="0"/>
        </c:dLbls>
        <c:gapWidth val="150"/>
        <c:axId val="106505736"/>
        <c:axId val="106514952"/>
      </c:barChart>
      <c:lineChart>
        <c:grouping val="standard"/>
        <c:varyColors val="0"/>
        <c:ser>
          <c:idx val="0"/>
          <c:order val="0"/>
          <c:tx>
            <c:v>Myer</c:v>
          </c:tx>
          <c:spPr>
            <a:ln w="28575" cap="rnd">
              <a:solidFill>
                <a:srgbClr val="637CEF"/>
              </a:solidFill>
              <a:round/>
            </a:ln>
            <a:effectLst/>
          </c:spPr>
          <c:marker>
            <c:symbol val="circle"/>
            <c:size val="5"/>
            <c:spPr>
              <a:solidFill>
                <a:schemeClr val="accent1"/>
              </a:solidFill>
              <a:ln w="9525">
                <a:solidFill>
                  <a:schemeClr val="accent1"/>
                </a:solidFill>
              </a:ln>
              <a:effectLst/>
            </c:spPr>
          </c:marker>
          <c:dLbls>
            <c:dLbl>
              <c:idx val="0"/>
              <c:layout>
                <c:manualLayout>
                  <c:x val="-1.6439048409502652E-2"/>
                  <c:y val="-6.19652924072798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1B-46BE-9233-9ADD88C4DC7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Ref>
              <c:f>Profitability!$L$399:$L$401</c:f>
              <c:numCache>
                <c:formatCode>0.00%</c:formatCode>
                <c:ptCount val="3"/>
                <c:pt idx="0">
                  <c:v>0.22513089005235606</c:v>
                </c:pt>
                <c:pt idx="1">
                  <c:v>0.29563409563409559</c:v>
                </c:pt>
                <c:pt idx="2">
                  <c:v>0.20627450980392156</c:v>
                </c:pt>
              </c:numCache>
            </c:numRef>
          </c:val>
          <c:smooth val="0"/>
          <c:extLst>
            <c:ext xmlns:c16="http://schemas.microsoft.com/office/drawing/2014/chart" uri="{C3380CC4-5D6E-409C-BE32-E72D297353CC}">
              <c16:uniqueId val="{00000001-D809-4C0C-A502-5DBCC9E909C0}"/>
            </c:ext>
          </c:extLst>
        </c:ser>
        <c:dLbls>
          <c:showLegendKey val="0"/>
          <c:showVal val="1"/>
          <c:showCatName val="0"/>
          <c:showSerName val="0"/>
          <c:showPercent val="0"/>
          <c:showBubbleSize val="0"/>
        </c:dLbls>
        <c:marker val="1"/>
        <c:smooth val="0"/>
        <c:axId val="106505736"/>
        <c:axId val="106514952"/>
      </c:lineChart>
      <c:catAx>
        <c:axId val="106505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14952"/>
        <c:crosses val="autoZero"/>
        <c:auto val="1"/>
        <c:lblAlgn val="ctr"/>
        <c:lblOffset val="100"/>
        <c:noMultiLvlLbl val="0"/>
      </c:catAx>
      <c:valAx>
        <c:axId val="106514952"/>
        <c:scaling>
          <c:orientation val="minMax"/>
          <c:max val="0.5500000000000000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ROE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05736"/>
        <c:crosses val="autoZero"/>
        <c:crossBetween val="between"/>
        <c:majorUnit val="5.000000000000001E-2"/>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PPE Turnover</a:t>
            </a:r>
          </a:p>
        </c:rich>
      </c:tx>
      <c:layout>
        <c:manualLayout>
          <c:xMode val="edge"/>
          <c:yMode val="edge"/>
          <c:x val="0.40387351628662199"/>
          <c:y val="2.517482517482518E-2"/>
        </c:manualLayout>
      </c:layout>
      <c:overlay val="0"/>
      <c:spPr>
        <a:solidFill>
          <a:srgbClr val="4D93D9"/>
        </a:solidFill>
        <a:ln>
          <a:solidFill>
            <a:srgbClr val="0070BF"/>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v>Best&amp;Less</c:v>
          </c:tx>
          <c:spPr>
            <a:solidFill>
              <a:srgbClr val="E3008C"/>
            </a:solidFill>
            <a:ln>
              <a:noFill/>
            </a:ln>
            <a:effectLst/>
          </c:spPr>
          <c:invertIfNegative val="0"/>
          <c:dPt>
            <c:idx val="0"/>
            <c:invertIfNegative val="0"/>
            <c:bubble3D val="0"/>
            <c:spPr>
              <a:solidFill>
                <a:schemeClr val="accent4"/>
              </a:solidFill>
              <a:ln w="12700">
                <a:solidFill>
                  <a:schemeClr val="lt1"/>
                </a:solidFill>
              </a:ln>
              <a:effectLst/>
            </c:spPr>
            <c:extLst>
              <c:ext xmlns:c16="http://schemas.microsoft.com/office/drawing/2014/chart" uri="{C3380CC4-5D6E-409C-BE32-E72D297353CC}">
                <c16:uniqueId val="{00000002-1361-4764-A097-9074989794A6}"/>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Profitability!$C$38</c:f>
              <c:numCache>
                <c:formatCode>0.00</c:formatCode>
                <c:ptCount val="1"/>
                <c:pt idx="0">
                  <c:v>49.878226711560046</c:v>
                </c:pt>
              </c:numCache>
            </c:numRef>
          </c:cat>
          <c:val>
            <c:numRef>
              <c:f>Profitability!$C$38</c:f>
              <c:numCache>
                <c:formatCode>0.00</c:formatCode>
                <c:ptCount val="1"/>
                <c:pt idx="0">
                  <c:v>49.878226711560046</c:v>
                </c:pt>
              </c:numCache>
            </c:numRef>
          </c:val>
          <c:extLst>
            <c:ext xmlns:c16="http://schemas.microsoft.com/office/drawing/2014/chart" uri="{C3380CC4-5D6E-409C-BE32-E72D297353CC}">
              <c16:uniqueId val="{00000000-1361-4764-A097-9074989794A6}"/>
            </c:ext>
          </c:extLst>
        </c:ser>
        <c:dLbls>
          <c:showLegendKey val="0"/>
          <c:showVal val="1"/>
          <c:showCatName val="0"/>
          <c:showSerName val="0"/>
          <c:showPercent val="0"/>
          <c:showBubbleSize val="0"/>
        </c:dLbls>
        <c:gapWidth val="150"/>
        <c:axId val="265716232"/>
        <c:axId val="265718280"/>
      </c:barChart>
      <c:lineChart>
        <c:grouping val="standard"/>
        <c:varyColors val="0"/>
        <c:ser>
          <c:idx val="0"/>
          <c:order val="0"/>
          <c:tx>
            <c:v>Myer</c:v>
          </c:tx>
          <c:spPr>
            <a:ln w="19050" cap="rnd">
              <a:solidFill>
                <a:srgbClr val="637CEF"/>
              </a:solidFill>
              <a:round/>
            </a:ln>
            <a:effectLst/>
          </c:spPr>
          <c:marker>
            <c:symbol val="circle"/>
            <c:size val="5"/>
            <c:spPr>
              <a:solidFill>
                <a:srgbClr val="637CEF"/>
              </a:solidFill>
              <a:ln w="9525">
                <a:solidFill>
                  <a:srgbClr val="637CEF"/>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3"/>
              <c:pt idx="0">
                <c:v>9.59</c:v>
              </c:pt>
              <c:pt idx="1">
                <c:v>10.73</c:v>
              </c:pt>
              <c:pt idx="2">
                <c:v>10.220000000000001</c:v>
              </c:pt>
            </c:numLit>
          </c:val>
          <c:smooth val="0"/>
          <c:extLst>
            <c:ext xmlns:c16="http://schemas.microsoft.com/office/drawing/2014/chart" uri="{C3380CC4-5D6E-409C-BE32-E72D297353CC}">
              <c16:uniqueId val="{00000000-2C81-4DD1-B215-3B91208E893A}"/>
            </c:ext>
          </c:extLst>
        </c:ser>
        <c:dLbls>
          <c:showLegendKey val="0"/>
          <c:showVal val="1"/>
          <c:showCatName val="0"/>
          <c:showSerName val="0"/>
          <c:showPercent val="0"/>
          <c:showBubbleSize val="0"/>
        </c:dLbls>
        <c:marker val="1"/>
        <c:smooth val="0"/>
        <c:axId val="265716232"/>
        <c:axId val="265718280"/>
      </c:lineChart>
      <c:catAx>
        <c:axId val="265716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718280"/>
        <c:crosses val="autoZero"/>
        <c:auto val="1"/>
        <c:lblAlgn val="ctr"/>
        <c:lblOffset val="100"/>
        <c:tickMarkSkip val="1"/>
        <c:noMultiLvlLbl val="1"/>
      </c:catAx>
      <c:valAx>
        <c:axId val="265718280"/>
        <c:scaling>
          <c:orientation val="minMax"/>
          <c:max val="5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t>Turnover (times)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716232"/>
        <c:crosses val="autoZero"/>
        <c:crossBetween val="between"/>
        <c:majorUnit val="4"/>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Asset Turnover vs NCA Turnover</a:t>
            </a:r>
          </a:p>
        </c:rich>
      </c:tx>
      <c:overlay val="0"/>
      <c:spPr>
        <a:solidFill>
          <a:schemeClr val="tx2">
            <a:lumMod val="50000"/>
            <a:lumOff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bar"/>
        <c:grouping val="stacked"/>
        <c:varyColors val="0"/>
        <c:ser>
          <c:idx val="1"/>
          <c:order val="0"/>
          <c:tx>
            <c:v>Asset Turnover</c:v>
          </c:tx>
          <c:spPr>
            <a:solidFill>
              <a:schemeClr val="accent1"/>
            </a:solidFill>
            <a:ln w="12700">
              <a:solidFill>
                <a:schemeClr val="bg1"/>
              </a:solidFill>
            </a:ln>
            <a:effectLst/>
          </c:spPr>
          <c:invertIfNegative val="0"/>
          <c:dLbls>
            <c:dLbl>
              <c:idx val="0"/>
              <c:layout>
                <c:manualLayout>
                  <c:x val="0.26958172041513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DC-4174-BF5E-EA9371CE18D6}"/>
                </c:ext>
              </c:extLst>
            </c:dLbl>
            <c:dLbl>
              <c:idx val="1"/>
              <c:layout>
                <c:manualLayout>
                  <c:x val="0.267864639393380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DC-4174-BF5E-EA9371CE18D6}"/>
                </c:ext>
              </c:extLst>
            </c:dLbl>
            <c:dLbl>
              <c:idx val="2"/>
              <c:layout>
                <c:manualLayout>
                  <c:x val="0.233523018958332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DC-4174-BF5E-EA9371CE18D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2024</c:v>
              </c:pt>
              <c:pt idx="1">
                <c:v>2023</c:v>
              </c:pt>
              <c:pt idx="2">
                <c:v>2022</c:v>
              </c:pt>
            </c:numLit>
          </c:cat>
          <c:val>
            <c:numRef>
              <c:f>'Financial Ratios'!$C$23:$C$25</c:f>
              <c:numCache>
                <c:formatCode>0.00</c:formatCode>
                <c:ptCount val="3"/>
                <c:pt idx="0">
                  <c:v>1.3573966710304843</c:v>
                </c:pt>
                <c:pt idx="1">
                  <c:v>1.3485583670850545</c:v>
                </c:pt>
                <c:pt idx="2">
                  <c:v>1.1914639249207963</c:v>
                </c:pt>
              </c:numCache>
            </c:numRef>
          </c:val>
          <c:extLst>
            <c:ext xmlns:c16="http://schemas.microsoft.com/office/drawing/2014/chart" uri="{C3380CC4-5D6E-409C-BE32-E72D297353CC}">
              <c16:uniqueId val="{00000001-D717-4EF1-8281-C5B85F3B0B43}"/>
            </c:ext>
          </c:extLst>
        </c:ser>
        <c:ser>
          <c:idx val="0"/>
          <c:order val="1"/>
          <c:tx>
            <c:v>NCA Turnover</c:v>
          </c:tx>
          <c:spPr>
            <a:solidFill>
              <a:srgbClr val="637CEF"/>
            </a:solidFill>
            <a:ln w="12700">
              <a:solidFill>
                <a:schemeClr val="bg1"/>
              </a:solidFill>
            </a:ln>
            <a:effectLst/>
          </c:spPr>
          <c:invertIfNegative val="0"/>
          <c:dLbls>
            <c:delete val="1"/>
          </c:dLbls>
          <c:cat>
            <c:numLit>
              <c:formatCode>General</c:formatCode>
              <c:ptCount val="3"/>
              <c:pt idx="0">
                <c:v>2024</c:v>
              </c:pt>
              <c:pt idx="1">
                <c:v>2023</c:v>
              </c:pt>
              <c:pt idx="2">
                <c:v>2022</c:v>
              </c:pt>
            </c:numLit>
          </c:cat>
          <c:val>
            <c:numLit>
              <c:formatCode>General</c:formatCode>
              <c:ptCount val="3"/>
              <c:pt idx="0">
                <c:v>0.36</c:v>
              </c:pt>
              <c:pt idx="1">
                <c:v>0.44</c:v>
              </c:pt>
              <c:pt idx="2">
                <c:v>0.43</c:v>
              </c:pt>
            </c:numLit>
          </c:val>
          <c:extLst>
            <c:ext xmlns:c16="http://schemas.microsoft.com/office/drawing/2014/chart" uri="{C3380CC4-5D6E-409C-BE32-E72D297353CC}">
              <c16:uniqueId val="{00000000-D717-4EF1-8281-C5B85F3B0B43}"/>
            </c:ext>
          </c:extLst>
        </c:ser>
        <c:dLbls>
          <c:dLblPos val="ctr"/>
          <c:showLegendKey val="0"/>
          <c:showVal val="1"/>
          <c:showCatName val="0"/>
          <c:showSerName val="0"/>
          <c:showPercent val="0"/>
          <c:showBubbleSize val="0"/>
        </c:dLbls>
        <c:gapWidth val="150"/>
        <c:overlap val="100"/>
        <c:axId val="385912328"/>
        <c:axId val="105911816"/>
      </c:barChart>
      <c:catAx>
        <c:axId val="38591232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t>Year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911816"/>
        <c:crosses val="autoZero"/>
        <c:auto val="1"/>
        <c:lblAlgn val="ctr"/>
        <c:lblOffset val="100"/>
        <c:noMultiLvlLbl val="0"/>
      </c:catAx>
      <c:valAx>
        <c:axId val="1059118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5912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sz="1200"/>
              <a:t>Days</a:t>
            </a:r>
            <a:r>
              <a:rPr lang="en-AU" sz="1200" baseline="0"/>
              <a:t> inventory (MYR)</a:t>
            </a:r>
            <a:endParaRPr lang="en-AU" sz="1200"/>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U"/>
        </a:p>
      </c:txPr>
    </c:title>
    <c:autoTitleDeleted val="0"/>
    <c:plotArea>
      <c:layout>
        <c:manualLayout>
          <c:layoutTarget val="inner"/>
          <c:xMode val="edge"/>
          <c:yMode val="edge"/>
          <c:x val="0.19904431122306851"/>
          <c:y val="0.16168048800829757"/>
          <c:w val="0.77696340006242159"/>
          <c:h val="0.63719501777711973"/>
        </c:manualLayout>
      </c:layout>
      <c:barChart>
        <c:barDir val="col"/>
        <c:grouping val="clustered"/>
        <c:varyColors val="0"/>
        <c:ser>
          <c:idx val="1"/>
          <c:order val="1"/>
          <c:tx>
            <c:v>Best&amp;Less</c:v>
          </c:tx>
          <c:spPr>
            <a:solidFill>
              <a:schemeClr val="accent4"/>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AD-4F77-9F3A-A7DC25878702}"/>
              </c:ext>
            </c:extLst>
          </c:dPt>
          <c:dPt>
            <c:idx val="1"/>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406-498E-BFA1-047C2E2EA8A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Lit>
              <c:formatCode>General</c:formatCode>
              <c:ptCount val="2"/>
              <c:pt idx="0">
                <c:v>99.73</c:v>
              </c:pt>
              <c:pt idx="1">
                <c:v>113.3</c:v>
              </c:pt>
            </c:numLit>
          </c:val>
          <c:extLst>
            <c:ext xmlns:c16="http://schemas.microsoft.com/office/drawing/2014/chart" uri="{C3380CC4-5D6E-409C-BE32-E72D297353CC}">
              <c16:uniqueId val="{00000000-5BAD-4F77-9F3A-A7DC25878702}"/>
            </c:ext>
          </c:extLst>
        </c:ser>
        <c:dLbls>
          <c:showLegendKey val="0"/>
          <c:showVal val="0"/>
          <c:showCatName val="0"/>
          <c:showSerName val="0"/>
          <c:showPercent val="0"/>
          <c:showBubbleSize val="0"/>
        </c:dLbls>
        <c:gapWidth val="150"/>
        <c:axId val="1181717791"/>
        <c:axId val="1181714431"/>
      </c:barChar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chemeClr val="lt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'Financial Ratios'!$G$15:$G$17</c:f>
              <c:numCache>
                <c:formatCode>General</c:formatCode>
                <c:ptCount val="3"/>
                <c:pt idx="0">
                  <c:v>2024</c:v>
                </c:pt>
                <c:pt idx="1">
                  <c:v>2023</c:v>
                </c:pt>
                <c:pt idx="2">
                  <c:v>2022</c:v>
                </c:pt>
              </c:numCache>
            </c:numRef>
          </c:cat>
          <c:val>
            <c:numRef>
              <c:f>'Financial Ratios'!$H$15:$H$17</c:f>
              <c:numCache>
                <c:formatCode>0.00</c:formatCode>
                <c:ptCount val="3"/>
                <c:pt idx="0">
                  <c:v>93.112758620689661</c:v>
                </c:pt>
                <c:pt idx="1">
                  <c:v>88.192302687227539</c:v>
                </c:pt>
                <c:pt idx="2">
                  <c:v>91.014594236013849</c:v>
                </c:pt>
              </c:numCache>
            </c:numRef>
          </c:val>
          <c:smooth val="0"/>
          <c:extLst>
            <c:ext xmlns:c16="http://schemas.microsoft.com/office/drawing/2014/chart" uri="{C3380CC4-5D6E-409C-BE32-E72D297353CC}">
              <c16:uniqueId val="{00000000-91A6-4653-80C9-21E860B13CA8}"/>
            </c:ext>
          </c:extLst>
        </c:ser>
        <c:dLbls>
          <c:showLegendKey val="0"/>
          <c:showVal val="1"/>
          <c:showCatName val="0"/>
          <c:showSerName val="0"/>
          <c:showPercent val="0"/>
          <c:showBubbleSize val="0"/>
        </c:dLbls>
        <c:marker val="1"/>
        <c:smooth val="0"/>
        <c:axId val="1264905727"/>
        <c:axId val="1264911967"/>
      </c:lineChart>
      <c:catAx>
        <c:axId val="1264905727"/>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4911967"/>
        <c:crosses val="autoZero"/>
        <c:auto val="1"/>
        <c:lblAlgn val="ctr"/>
        <c:lblOffset val="100"/>
        <c:noMultiLvlLbl val="0"/>
      </c:catAx>
      <c:valAx>
        <c:axId val="1264911967"/>
        <c:scaling>
          <c:orientation val="minMax"/>
          <c:max val="115"/>
          <c:min val="80"/>
        </c:scaling>
        <c:delete val="0"/>
        <c:axPos val="r"/>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Days</a:t>
                </a:r>
              </a:p>
            </c:rich>
          </c:tx>
          <c:layout>
            <c:manualLayout>
              <c:xMode val="edge"/>
              <c:yMode val="edge"/>
              <c:x val="3.1434739406042772E-2"/>
              <c:y val="0.3635320860752815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4905727"/>
        <c:crosses val="autoZero"/>
        <c:crossBetween val="between"/>
        <c:majorUnit val="5"/>
      </c:valAx>
      <c:valAx>
        <c:axId val="1181714431"/>
        <c:scaling>
          <c:orientation val="minMax"/>
        </c:scaling>
        <c:delete val="1"/>
        <c:axPos val="r"/>
        <c:numFmt formatCode="General" sourceLinked="1"/>
        <c:majorTickMark val="out"/>
        <c:minorTickMark val="none"/>
        <c:tickLblPos val="nextTo"/>
        <c:crossAx val="1181717791"/>
        <c:crosses val="max"/>
        <c:crossBetween val="between"/>
      </c:valAx>
      <c:catAx>
        <c:axId val="1181717791"/>
        <c:scaling>
          <c:orientation val="minMax"/>
        </c:scaling>
        <c:delete val="1"/>
        <c:axPos val="b"/>
        <c:majorTickMark val="out"/>
        <c:minorTickMark val="none"/>
        <c:tickLblPos val="nextTo"/>
        <c:crossAx val="1181714431"/>
        <c:crosses val="autoZero"/>
        <c:auto val="1"/>
        <c:lblAlgn val="ctr"/>
        <c:lblOffset val="100"/>
        <c:noMultiLvlLbl val="0"/>
      </c:catAx>
      <c:spPr>
        <a:noFill/>
        <a:ln>
          <a:noFill/>
        </a:ln>
        <a:effectLst/>
      </c:spPr>
    </c:plotArea>
    <c:plotVisOnly val="1"/>
    <c:dispBlanksAs val="gap"/>
    <c:showDLblsOverMax val="0"/>
  </c:chart>
  <c:spPr>
    <a:solidFill>
      <a:srgbClr val="0E2841"/>
    </a:soli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sz="1200"/>
              <a:t>Days payables (MYR)</a:t>
            </a:r>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U"/>
        </a:p>
      </c:txPr>
    </c:title>
    <c:autoTitleDeleted val="0"/>
    <c:plotArea>
      <c:layout>
        <c:manualLayout>
          <c:layoutTarget val="inner"/>
          <c:xMode val="edge"/>
          <c:yMode val="edge"/>
          <c:x val="0.18288270015244676"/>
          <c:y val="0.15692841783047301"/>
          <c:w val="0.7931902800898929"/>
          <c:h val="0.63739365639853585"/>
        </c:manualLayout>
      </c:layout>
      <c:barChart>
        <c:barDir val="col"/>
        <c:grouping val="clustered"/>
        <c:varyColors val="0"/>
        <c:ser>
          <c:idx val="1"/>
          <c:order val="1"/>
          <c:tx>
            <c:v>Best&amp;Less</c:v>
          </c:tx>
          <c:spPr>
            <a:solidFill>
              <a:schemeClr val="accent5"/>
            </a:solidFill>
            <a:ln w="12700">
              <a:solidFill>
                <a:schemeClr val="bg1"/>
              </a:solid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CD-48B5-B418-028123B178A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Lit>
              <c:formatCode>General</c:formatCode>
              <c:ptCount val="1"/>
              <c:pt idx="0">
                <c:v>2023</c:v>
              </c:pt>
            </c:numLit>
          </c:cat>
          <c:val>
            <c:numLit>
              <c:formatCode>General</c:formatCode>
              <c:ptCount val="2"/>
              <c:pt idx="0">
                <c:v>35</c:v>
              </c:pt>
              <c:pt idx="1">
                <c:v>62.2</c:v>
              </c:pt>
            </c:numLit>
          </c:val>
          <c:extLst>
            <c:ext xmlns:c16="http://schemas.microsoft.com/office/drawing/2014/chart" uri="{C3380CC4-5D6E-409C-BE32-E72D297353CC}">
              <c16:uniqueId val="{00000000-9CBE-46E9-A5EC-BD961DBE8EAB}"/>
            </c:ext>
          </c:extLst>
        </c:ser>
        <c:dLbls>
          <c:showLegendKey val="0"/>
          <c:showVal val="0"/>
          <c:showCatName val="0"/>
          <c:showSerName val="0"/>
          <c:showPercent val="0"/>
          <c:showBubbleSize val="0"/>
        </c:dLbls>
        <c:gapWidth val="150"/>
        <c:axId val="1310110223"/>
        <c:axId val="1310105423"/>
      </c:barChar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chemeClr val="lt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'Financial Ratios'!$G$23:$G$25</c:f>
              <c:numCache>
                <c:formatCode>General</c:formatCode>
                <c:ptCount val="3"/>
                <c:pt idx="0">
                  <c:v>2024</c:v>
                </c:pt>
                <c:pt idx="1">
                  <c:v>2023</c:v>
                </c:pt>
                <c:pt idx="2">
                  <c:v>2022</c:v>
                </c:pt>
              </c:numCache>
            </c:numRef>
          </c:cat>
          <c:val>
            <c:numRef>
              <c:f>'Financial Ratios'!$H$23:$H$25</c:f>
              <c:numCache>
                <c:formatCode>0.00</c:formatCode>
                <c:ptCount val="3"/>
                <c:pt idx="0">
                  <c:v>48.268103448275859</c:v>
                </c:pt>
                <c:pt idx="1">
                  <c:v>45.491411282451686</c:v>
                </c:pt>
                <c:pt idx="2">
                  <c:v>48.466683865261288</c:v>
                </c:pt>
              </c:numCache>
            </c:numRef>
          </c:val>
          <c:smooth val="0"/>
          <c:extLst>
            <c:ext xmlns:c16="http://schemas.microsoft.com/office/drawing/2014/chart" uri="{C3380CC4-5D6E-409C-BE32-E72D297353CC}">
              <c16:uniqueId val="{00000000-8DC5-4FD1-9971-3871B8C6A059}"/>
            </c:ext>
          </c:extLst>
        </c:ser>
        <c:dLbls>
          <c:showLegendKey val="0"/>
          <c:showVal val="1"/>
          <c:showCatName val="0"/>
          <c:showSerName val="0"/>
          <c:showPercent val="0"/>
          <c:showBubbleSize val="0"/>
        </c:dLbls>
        <c:marker val="1"/>
        <c:smooth val="0"/>
        <c:axId val="1224635647"/>
        <c:axId val="1224638527"/>
      </c:lineChart>
      <c:catAx>
        <c:axId val="1224635647"/>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638527"/>
        <c:crosses val="autoZero"/>
        <c:auto val="1"/>
        <c:lblAlgn val="ctr"/>
        <c:lblOffset val="100"/>
        <c:noMultiLvlLbl val="0"/>
      </c:catAx>
      <c:valAx>
        <c:axId val="1224638527"/>
        <c:scaling>
          <c:orientation val="minMax"/>
          <c:max val="65"/>
          <c:min val="25"/>
        </c:scaling>
        <c:delete val="0"/>
        <c:axPos val="r"/>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Days</a:t>
                </a:r>
              </a:p>
            </c:rich>
          </c:tx>
          <c:layout>
            <c:manualLayout>
              <c:xMode val="edge"/>
              <c:yMode val="edge"/>
              <c:x val="2.3793237751124546E-2"/>
              <c:y val="0.3682701685634213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635647"/>
        <c:crosses val="autoZero"/>
        <c:crossBetween val="between"/>
      </c:valAx>
      <c:valAx>
        <c:axId val="1310105423"/>
        <c:scaling>
          <c:orientation val="minMax"/>
          <c:max val="50"/>
          <c:min val="30"/>
        </c:scaling>
        <c:delete val="1"/>
        <c:axPos val="r"/>
        <c:numFmt formatCode="General" sourceLinked="1"/>
        <c:majorTickMark val="out"/>
        <c:minorTickMark val="none"/>
        <c:tickLblPos val="nextTo"/>
        <c:crossAx val="1310110223"/>
        <c:crosses val="max"/>
        <c:crossBetween val="between"/>
        <c:majorUnit val="2"/>
      </c:valAx>
      <c:catAx>
        <c:axId val="1310110223"/>
        <c:scaling>
          <c:orientation val="minMax"/>
        </c:scaling>
        <c:delete val="1"/>
        <c:axPos val="b"/>
        <c:numFmt formatCode="General" sourceLinked="1"/>
        <c:majorTickMark val="out"/>
        <c:minorTickMark val="none"/>
        <c:tickLblPos val="nextTo"/>
        <c:crossAx val="1310105423"/>
        <c:crosses val="autoZero"/>
        <c:auto val="1"/>
        <c:lblAlgn val="ctr"/>
        <c:lblOffset val="100"/>
        <c:noMultiLvlLbl val="0"/>
      </c:catAx>
      <c:spPr>
        <a:noFill/>
        <a:ln>
          <a:noFill/>
        </a:ln>
        <a:effectLst/>
      </c:spPr>
    </c:plotArea>
    <c:plotVisOnly val="1"/>
    <c:dispBlanksAs val="gap"/>
    <c:showDLblsOverMax val="0"/>
  </c:chart>
  <c:spPr>
    <a:solidFill>
      <a:srgbClr val="0E2841"/>
    </a:soli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Quick Asset Ratio (MYR) ▼</a:t>
            </a:r>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5470289126723333"/>
          <c:y val="0.18664699200826571"/>
          <c:w val="0.80738833814155997"/>
          <c:h val="0.58117111438927826"/>
        </c:manualLayout>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dPt>
            <c:idx val="3"/>
            <c:invertIfNegative val="0"/>
            <c:bubble3D val="0"/>
            <c:spPr>
              <a:solidFill>
                <a:schemeClr val="accent4"/>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7A8-4299-BDFD-0B4FA666E0A7}"/>
              </c:ext>
            </c:extLst>
          </c:dPt>
          <c:dPt>
            <c:idx val="4"/>
            <c:invertIfNegative val="0"/>
            <c:bubble3D val="0"/>
            <c:spPr>
              <a:solidFill>
                <a:schemeClr val="accent5"/>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A8-4299-BDFD-0B4FA666E0A7}"/>
              </c:ext>
            </c:extLst>
          </c:dPt>
          <c:dLbls>
            <c:dLbl>
              <c:idx val="0"/>
              <c:layout>
                <c:manualLayout>
                  <c:x val="6.9291932069057878E-3"/>
                  <c:y val="-0.1085869213921964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E1-4257-B3F4-962C361FB62B}"/>
                </c:ext>
              </c:extLst>
            </c:dLbl>
            <c:dLbl>
              <c:idx val="1"/>
              <c:layout>
                <c:manualLayout>
                  <c:x val="-3.5352242902193039E-3"/>
                  <c:y val="-0.1016448805952844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E1-4257-B3F4-962C361FB62B}"/>
                </c:ext>
              </c:extLst>
            </c:dLbl>
            <c:dLbl>
              <c:idx val="2"/>
              <c:layout>
                <c:manualLayout>
                  <c:x val="3.9672171066529041E-5"/>
                  <c:y val="-0.1455353745583847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E1-4257-B3F4-962C361FB62B}"/>
                </c:ext>
              </c:extLst>
            </c:dLbl>
            <c:dLbl>
              <c:idx val="3"/>
              <c:layout>
                <c:manualLayout>
                  <c:x val="6.3480372383856741E-17"/>
                  <c:y val="-0.10598692605367278"/>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A8-4299-BDFD-0B4FA666E0A7}"/>
                </c:ext>
              </c:extLst>
            </c:dLbl>
            <c:dLbl>
              <c:idx val="4"/>
              <c:layout>
                <c:manualLayout>
                  <c:x val="3.1740186191928371E-17"/>
                  <c:y val="-0.31796077816101836"/>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A8-4299-BDFD-0B4FA666E0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'Financial Ratios'!$G$7:$G$9</c:f>
              <c:numCache>
                <c:formatCode>General</c:formatCode>
                <c:ptCount val="3"/>
                <c:pt idx="0">
                  <c:v>2024</c:v>
                </c:pt>
                <c:pt idx="1">
                  <c:v>2023</c:v>
                </c:pt>
                <c:pt idx="2">
                  <c:v>2022</c:v>
                </c:pt>
              </c:numCache>
            </c:numRef>
          </c:cat>
          <c:val>
            <c:numLit>
              <c:formatCode>General</c:formatCode>
              <c:ptCount val="5"/>
              <c:pt idx="0">
                <c:v>0.32</c:v>
              </c:pt>
              <c:pt idx="1">
                <c:v>0.32</c:v>
              </c:pt>
              <c:pt idx="2">
                <c:v>0.41</c:v>
              </c:pt>
              <c:pt idx="3">
                <c:v>0.34</c:v>
              </c:pt>
              <c:pt idx="4">
                <c:v>0.86</c:v>
              </c:pt>
            </c:numLit>
          </c:val>
          <c:extLst>
            <c:ext xmlns:c16="http://schemas.microsoft.com/office/drawing/2014/chart" uri="{C3380CC4-5D6E-409C-BE32-E72D297353CC}">
              <c16:uniqueId val="{00000000-6AE9-4BFC-9377-0E123D047E15}"/>
            </c:ext>
          </c:extLst>
        </c:ser>
        <c:dLbls>
          <c:showLegendKey val="0"/>
          <c:showVal val="0"/>
          <c:showCatName val="0"/>
          <c:showSerName val="0"/>
          <c:showPercent val="0"/>
          <c:showBubbleSize val="0"/>
        </c:dLbls>
        <c:gapWidth val="150"/>
        <c:overlap val="100"/>
        <c:axId val="1284740335"/>
        <c:axId val="1284758575"/>
      </c:barChart>
      <c:catAx>
        <c:axId val="1284740335"/>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758575"/>
        <c:crosses val="autoZero"/>
        <c:auto val="1"/>
        <c:lblAlgn val="ctr"/>
        <c:lblOffset val="100"/>
        <c:noMultiLvlLbl val="0"/>
      </c:catAx>
      <c:valAx>
        <c:axId val="1284758575"/>
        <c:scaling>
          <c:orientation val="minMax"/>
          <c:max val="0.9"/>
          <c:min val="0.2"/>
        </c:scaling>
        <c:delete val="0"/>
        <c:axPos val="r"/>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Ratio</a:t>
                </a:r>
              </a:p>
            </c:rich>
          </c:tx>
          <c:layout>
            <c:manualLayout>
              <c:xMode val="edge"/>
              <c:yMode val="edge"/>
              <c:x val="1.3081256720172624E-2"/>
              <c:y val="0.4017116783150937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740335"/>
        <c:crosses val="autoZero"/>
        <c:crossBetween val="between"/>
        <c:majorUnit val="0.1"/>
      </c:valAx>
      <c:spPr>
        <a:noFill/>
        <a:ln>
          <a:noFill/>
        </a:ln>
        <a:effectLst/>
      </c:spPr>
    </c:plotArea>
    <c:plotVisOnly val="1"/>
    <c:dispBlanksAs val="gap"/>
    <c:showDLblsOverMax val="0"/>
  </c:chart>
  <c:spPr>
    <a:solidFill>
      <a:srgbClr val="0E2841"/>
    </a:solidFill>
    <a:ln>
      <a:solidFill>
        <a:schemeClr val="accent4"/>
      </a:solidFill>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sz="1200"/>
              <a:t>Cash flow liquidity (MYR) </a:t>
            </a:r>
            <a:r>
              <a:rPr lang="en-AU"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
            </a:r>
            <a:r>
              <a:rPr lang="en-AU" sz="1200" baseline="0"/>
              <a:t> </a:t>
            </a:r>
            <a:endParaRPr lang="en-AU" sz="1200"/>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U"/>
        </a:p>
      </c:txPr>
    </c:title>
    <c:autoTitleDeleted val="0"/>
    <c:plotArea>
      <c:layout/>
      <c:barChart>
        <c:barDir val="col"/>
        <c:grouping val="clustered"/>
        <c:varyColors val="0"/>
        <c:ser>
          <c:idx val="0"/>
          <c:order val="0"/>
          <c:tx>
            <c:v>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dPt>
            <c:idx val="1"/>
            <c:invertIfNegative val="0"/>
            <c:bubble3D val="0"/>
            <c:spPr>
              <a:solidFill>
                <a:schemeClr val="accent1"/>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0BD4-4193-AB0F-1ED07367A3EC}"/>
              </c:ext>
            </c:extLst>
          </c:dPt>
          <c:dPt>
            <c:idx val="3"/>
            <c:invertIfNegative val="0"/>
            <c:bubble3D val="0"/>
            <c:spPr>
              <a:solidFill>
                <a:schemeClr val="accent4"/>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D4-4193-AB0F-1ED07367A3EC}"/>
              </c:ext>
            </c:extLst>
          </c:dPt>
          <c:dPt>
            <c:idx val="4"/>
            <c:invertIfNegative val="0"/>
            <c:bubble3D val="0"/>
            <c:spPr>
              <a:solidFill>
                <a:srgbClr val="B212A7"/>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9D2-4AD6-BA30-5387DDABEDA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Lit>
              <c:formatCode>General</c:formatCode>
              <c:ptCount val="3"/>
              <c:pt idx="0">
                <c:v>2022</c:v>
              </c:pt>
              <c:pt idx="1">
                <c:v>2023</c:v>
              </c:pt>
              <c:pt idx="2">
                <c:v>2024</c:v>
              </c:pt>
            </c:numLit>
          </c:cat>
          <c:val>
            <c:numLit>
              <c:formatCode>General</c:formatCode>
              <c:ptCount val="5"/>
              <c:pt idx="0">
                <c:v>0.37</c:v>
              </c:pt>
              <c:pt idx="1">
                <c:v>0.28000000000000003</c:v>
              </c:pt>
              <c:pt idx="2">
                <c:v>0.27</c:v>
              </c:pt>
              <c:pt idx="3">
                <c:v>0.28000000000000003</c:v>
              </c:pt>
              <c:pt idx="4">
                <c:v>0.53</c:v>
              </c:pt>
            </c:numLit>
          </c:val>
          <c:extLst>
            <c:ext xmlns:c16="http://schemas.microsoft.com/office/drawing/2014/chart" uri="{C3380CC4-5D6E-409C-BE32-E72D297353CC}">
              <c16:uniqueId val="{00000002-5EDD-4115-B144-E458494B3C73}"/>
            </c:ext>
          </c:extLst>
        </c:ser>
        <c:dLbls>
          <c:dLblPos val="outEnd"/>
          <c:showLegendKey val="0"/>
          <c:showVal val="1"/>
          <c:showCatName val="0"/>
          <c:showSerName val="0"/>
          <c:showPercent val="0"/>
          <c:showBubbleSize val="0"/>
        </c:dLbls>
        <c:gapWidth val="100"/>
        <c:overlap val="-24"/>
        <c:axId val="1797008720"/>
        <c:axId val="1797012560"/>
      </c:barChart>
      <c:catAx>
        <c:axId val="17970087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012560"/>
        <c:crosses val="autoZero"/>
        <c:auto val="1"/>
        <c:lblAlgn val="ctr"/>
        <c:lblOffset val="100"/>
        <c:noMultiLvlLbl val="0"/>
      </c:catAx>
      <c:valAx>
        <c:axId val="1797012560"/>
        <c:scaling>
          <c:orientation val="minMax"/>
          <c:max val="0.60000000000000009"/>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Ratio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008720"/>
        <c:crosses val="autoZero"/>
        <c:crossBetween val="between"/>
        <c:majorUnit val="0.1"/>
        <c:minorUnit val="5.000000000000001E-2"/>
      </c:valAx>
      <c:spPr>
        <a:noFill/>
        <a:ln>
          <a:noFill/>
        </a:ln>
        <a:effectLst/>
      </c:spPr>
    </c:plotArea>
    <c:plotVisOnly val="1"/>
    <c:dispBlanksAs val="gap"/>
    <c:showDLblsOverMax val="0"/>
  </c:chart>
  <c:spPr>
    <a:solidFill>
      <a:srgbClr val="0E2841"/>
    </a:solidFill>
    <a:ln>
      <a:noFill/>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sz="1200"/>
              <a:t>Current Ratio (MYR) </a:t>
            </a:r>
            <a:r>
              <a:rPr lang="en-AU" sz="1200">
                <a:latin typeface="+mn-lt"/>
              </a:rPr>
              <a:t>▼</a:t>
            </a:r>
          </a:p>
        </c:rich>
      </c:tx>
      <c:layout>
        <c:manualLayout>
          <c:xMode val="edge"/>
          <c:yMode val="edge"/>
          <c:x val="0.25498449675911478"/>
          <c:y val="3.4715569697557604E-2"/>
        </c:manualLayout>
      </c:layout>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592783039650591"/>
          <c:y val="0.18637308668526492"/>
          <c:w val="0.80601887706373809"/>
          <c:h val="0.58178574771372094"/>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35-49DA-9735-DE99581C7F57}"/>
              </c:ext>
            </c:extLst>
          </c:dPt>
          <c:dPt>
            <c:idx val="3"/>
            <c:invertIfNegative val="0"/>
            <c:bubble3D val="0"/>
            <c:spPr>
              <a:solidFill>
                <a:schemeClr val="accent4"/>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90F-4BCC-9EF5-2AD13BF4DD9A}"/>
              </c:ext>
            </c:extLst>
          </c:dPt>
          <c:dPt>
            <c:idx val="4"/>
            <c:invertIfNegative val="0"/>
            <c:bubble3D val="0"/>
            <c:spPr>
              <a:solidFill>
                <a:schemeClr val="accent5"/>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0F-4BCC-9EF5-2AD13BF4DD9A}"/>
              </c:ext>
            </c:extLst>
          </c:dPt>
          <c:dLbls>
            <c:spPr>
              <a:solidFill>
                <a:schemeClr val="lt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Lit>
              <c:formatCode>General</c:formatCode>
              <c:ptCount val="3"/>
              <c:pt idx="0">
                <c:v>2024</c:v>
              </c:pt>
              <c:pt idx="1">
                <c:v>2023</c:v>
              </c:pt>
              <c:pt idx="2">
                <c:v>2022</c:v>
              </c:pt>
            </c:numLit>
          </c:cat>
          <c:val>
            <c:numLit>
              <c:formatCode>General</c:formatCode>
              <c:ptCount val="5"/>
              <c:pt idx="0">
                <c:v>0.9</c:v>
              </c:pt>
              <c:pt idx="1">
                <c:v>0.91</c:v>
              </c:pt>
              <c:pt idx="2">
                <c:v>0.97</c:v>
              </c:pt>
              <c:pt idx="3">
                <c:v>1.1000000000000001</c:v>
              </c:pt>
              <c:pt idx="4">
                <c:v>1.3</c:v>
              </c:pt>
            </c:numLit>
          </c:val>
          <c:extLst>
            <c:ext xmlns:c16="http://schemas.microsoft.com/office/drawing/2014/chart" uri="{C3380CC4-5D6E-409C-BE32-E72D297353CC}">
              <c16:uniqueId val="{00000000-6E47-4FF5-A3C1-7D663B6600FA}"/>
            </c:ext>
          </c:extLst>
        </c:ser>
        <c:dLbls>
          <c:dLblPos val="outEnd"/>
          <c:showLegendKey val="0"/>
          <c:showVal val="1"/>
          <c:showCatName val="0"/>
          <c:showSerName val="0"/>
          <c:showPercent val="0"/>
          <c:showBubbleSize val="0"/>
        </c:dLbls>
        <c:gapWidth val="100"/>
        <c:overlap val="-24"/>
        <c:axId val="1592298528"/>
        <c:axId val="1592303328"/>
      </c:barChart>
      <c:catAx>
        <c:axId val="1592298528"/>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2303328"/>
        <c:crosses val="autoZero"/>
        <c:auto val="1"/>
        <c:lblAlgn val="ctr"/>
        <c:lblOffset val="100"/>
        <c:noMultiLvlLbl val="0"/>
      </c:catAx>
      <c:valAx>
        <c:axId val="1592303328"/>
        <c:scaling>
          <c:orientation val="minMax"/>
          <c:min val="0.8"/>
        </c:scaling>
        <c:delete val="0"/>
        <c:axPos val="r"/>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Ratio</a:t>
                </a:r>
              </a:p>
            </c:rich>
          </c:tx>
          <c:layout>
            <c:manualLayout>
              <c:xMode val="edge"/>
              <c:yMode val="edge"/>
              <c:x val="1.6490748925200523E-2"/>
              <c:y val="0.4072348613028137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2298528"/>
        <c:crosses val="autoZero"/>
        <c:crossBetween val="between"/>
      </c:valAx>
      <c:spPr>
        <a:noFill/>
        <a:ln>
          <a:noFill/>
        </a:ln>
        <a:effectLst/>
      </c:spPr>
    </c:plotArea>
    <c:plotVisOnly val="1"/>
    <c:dispBlanksAs val="gap"/>
    <c:showDLblsOverMax val="0"/>
  </c:chart>
  <c:spPr>
    <a:solidFill>
      <a:srgbClr val="0E2841"/>
    </a:soli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sz="1200"/>
              <a:t>Days</a:t>
            </a:r>
            <a:r>
              <a:rPr lang="en-AU" sz="1200" baseline="0"/>
              <a:t> Receivables (MYR)</a:t>
            </a:r>
            <a:endParaRPr lang="en-AU" sz="1200"/>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U"/>
        </a:p>
      </c:txPr>
    </c:title>
    <c:autoTitleDeleted val="0"/>
    <c:plotArea>
      <c:layout/>
      <c:barChart>
        <c:barDir val="col"/>
        <c:grouping val="clustered"/>
        <c:varyColors val="0"/>
        <c:ser>
          <c:idx val="1"/>
          <c:order val="1"/>
          <c:tx>
            <c:v>Best&amp;Less</c:v>
          </c:tx>
          <c:spPr>
            <a:solidFill>
              <a:schemeClr val="accent4"/>
            </a:solidFill>
            <a:ln w="12700">
              <a:solidFill>
                <a:schemeClr val="bg1"/>
              </a:solid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Liquidity!$C$39</c:f>
              <c:numCache>
                <c:formatCode>0.00</c:formatCode>
                <c:ptCount val="1"/>
                <c:pt idx="0">
                  <c:v>0.18567346158111547</c:v>
                </c:pt>
              </c:numCache>
            </c:numRef>
          </c:val>
          <c:extLst>
            <c:ext xmlns:c16="http://schemas.microsoft.com/office/drawing/2014/chart" uri="{C3380CC4-5D6E-409C-BE32-E72D297353CC}">
              <c16:uniqueId val="{00000000-EE6B-47E8-AAD3-9DE0F2DC0E77}"/>
            </c:ext>
          </c:extLst>
        </c:ser>
        <c:dLbls>
          <c:showLegendKey val="0"/>
          <c:showVal val="0"/>
          <c:showCatName val="0"/>
          <c:showSerName val="0"/>
          <c:showPercent val="0"/>
          <c:showBubbleSize val="0"/>
        </c:dLbls>
        <c:gapWidth val="100"/>
        <c:axId val="1577489871"/>
        <c:axId val="1577473071"/>
      </c:barChar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chemeClr val="lt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'Financial Ratios'!$G$19:$G$21</c:f>
              <c:numCache>
                <c:formatCode>General</c:formatCode>
                <c:ptCount val="3"/>
                <c:pt idx="0">
                  <c:v>2024</c:v>
                </c:pt>
                <c:pt idx="1">
                  <c:v>2023</c:v>
                </c:pt>
                <c:pt idx="2">
                  <c:v>2022</c:v>
                </c:pt>
              </c:numCache>
            </c:numRef>
          </c:cat>
          <c:val>
            <c:numRef>
              <c:f>'Financial Ratios'!$H$19:$H$21</c:f>
              <c:numCache>
                <c:formatCode>0.00</c:formatCode>
                <c:ptCount val="3"/>
                <c:pt idx="0">
                  <c:v>1.2013563577355257</c:v>
                </c:pt>
                <c:pt idx="1">
                  <c:v>1.2753129739213178</c:v>
                </c:pt>
                <c:pt idx="2">
                  <c:v>1.4161482373402901</c:v>
                </c:pt>
              </c:numCache>
            </c:numRef>
          </c:val>
          <c:smooth val="0"/>
          <c:extLst>
            <c:ext xmlns:c16="http://schemas.microsoft.com/office/drawing/2014/chart" uri="{C3380CC4-5D6E-409C-BE32-E72D297353CC}">
              <c16:uniqueId val="{00000000-9FCC-4125-A766-7536E3D2C2A5}"/>
            </c:ext>
          </c:extLst>
        </c:ser>
        <c:dLbls>
          <c:showLegendKey val="0"/>
          <c:showVal val="1"/>
          <c:showCatName val="0"/>
          <c:showSerName val="0"/>
          <c:showPercent val="0"/>
          <c:showBubbleSize val="0"/>
        </c:dLbls>
        <c:marker val="1"/>
        <c:smooth val="0"/>
        <c:axId val="1289865727"/>
        <c:axId val="1289866207"/>
      </c:lineChart>
      <c:catAx>
        <c:axId val="1289865727"/>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AU"/>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866207"/>
        <c:crosses val="autoZero"/>
        <c:auto val="1"/>
        <c:lblAlgn val="ctr"/>
        <c:lblOffset val="100"/>
        <c:noMultiLvlLbl val="0"/>
      </c:catAx>
      <c:valAx>
        <c:axId val="1289866207"/>
        <c:scaling>
          <c:orientation val="minMax"/>
          <c:max val="2"/>
          <c:min val="0"/>
        </c:scaling>
        <c:delete val="0"/>
        <c:axPos val="r"/>
        <c:majorGridlines>
          <c:spPr>
            <a:ln w="9525" cap="flat" cmpd="sng" algn="ctr">
              <a:solidFill>
                <a:schemeClr val="bg1"/>
              </a:solidFill>
              <a:round/>
            </a:ln>
            <a:effectLst/>
          </c:spPr>
        </c:majorGridlines>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865727"/>
        <c:crosses val="autoZero"/>
        <c:crossBetween val="between"/>
      </c:valAx>
      <c:valAx>
        <c:axId val="1577473071"/>
        <c:scaling>
          <c:orientation val="minMax"/>
          <c:max val="2"/>
        </c:scaling>
        <c:delete val="1"/>
        <c:axPos val="r"/>
        <c:numFmt formatCode="0.00" sourceLinked="1"/>
        <c:majorTickMark val="out"/>
        <c:minorTickMark val="none"/>
        <c:tickLblPos val="nextTo"/>
        <c:crossAx val="1577489871"/>
        <c:crosses val="max"/>
        <c:crossBetween val="between"/>
      </c:valAx>
      <c:catAx>
        <c:axId val="1577489871"/>
        <c:scaling>
          <c:orientation val="minMax"/>
        </c:scaling>
        <c:delete val="1"/>
        <c:axPos val="b"/>
        <c:majorTickMark val="out"/>
        <c:minorTickMark val="none"/>
        <c:tickLblPos val="nextTo"/>
        <c:crossAx val="1577473071"/>
        <c:crosses val="autoZero"/>
        <c:auto val="1"/>
        <c:lblAlgn val="ctr"/>
        <c:lblOffset val="100"/>
        <c:noMultiLvlLbl val="0"/>
      </c:catAx>
      <c:spPr>
        <a:noFill/>
        <a:ln>
          <a:noFill/>
        </a:ln>
        <a:effectLst/>
      </c:spPr>
    </c:plotArea>
    <c:plotVisOnly val="1"/>
    <c:dispBlanksAs val="gap"/>
    <c:showDLblsOverMax val="0"/>
  </c:chart>
  <c:spPr>
    <a:solidFill>
      <a:srgbClr val="0E2841"/>
    </a:soli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Gearing (D/Eq)</a:t>
            </a:r>
          </a:p>
        </c:rich>
      </c:tx>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'Financial Ratios'!$L$3</c:f>
              <c:strCache>
                <c:ptCount val="1"/>
                <c:pt idx="0">
                  <c:v>2024</c:v>
                </c:pt>
              </c:strCache>
            </c:strRef>
          </c:tx>
          <c:spPr>
            <a:solidFill>
              <a:schemeClr val="accent1"/>
            </a:solidFill>
            <a:ln w="12700">
              <a:solidFill>
                <a:schemeClr val="bg1"/>
              </a:solidFill>
            </a:ln>
            <a:effectLst/>
          </c:spPr>
          <c:invertIfNegative val="0"/>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C135-4003-A8E1-088D97097F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'Financial Ratios'!$M$3</c:f>
              <c:numCache>
                <c:formatCode>0.00</c:formatCode>
                <c:ptCount val="1"/>
                <c:pt idx="0">
                  <c:v>8.3156862745098046</c:v>
                </c:pt>
              </c:numCache>
            </c:numRef>
          </c:val>
          <c:extLst>
            <c:ext xmlns:c16="http://schemas.microsoft.com/office/drawing/2014/chart" uri="{C3380CC4-5D6E-409C-BE32-E72D297353CC}">
              <c16:uniqueId val="{00000000-7F2E-47E5-BA6C-12FCA6AF66D9}"/>
            </c:ext>
          </c:extLst>
        </c:ser>
        <c:ser>
          <c:idx val="1"/>
          <c:order val="1"/>
          <c:tx>
            <c:strRef>
              <c:f>'Financial Ratios'!$L$4</c:f>
              <c:strCache>
                <c:ptCount val="1"/>
                <c:pt idx="0">
                  <c:v>2023</c:v>
                </c:pt>
              </c:strCache>
            </c:strRef>
          </c:tx>
          <c:spPr>
            <a:solidFill>
              <a:schemeClr val="accent2"/>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'Financial Ratios'!$M$4</c:f>
              <c:numCache>
                <c:formatCode>0.00</c:formatCode>
                <c:ptCount val="1"/>
                <c:pt idx="0">
                  <c:v>9.1322245322245337</c:v>
                </c:pt>
              </c:numCache>
            </c:numRef>
          </c:val>
          <c:extLst>
            <c:ext xmlns:c16="http://schemas.microsoft.com/office/drawing/2014/chart" uri="{C3380CC4-5D6E-409C-BE32-E72D297353CC}">
              <c16:uniqueId val="{00000000-C135-4003-A8E1-088D97097F99}"/>
            </c:ext>
          </c:extLst>
        </c:ser>
        <c:ser>
          <c:idx val="2"/>
          <c:order val="2"/>
          <c:tx>
            <c:strRef>
              <c:f>'Financial Ratios'!$L$5</c:f>
              <c:strCache>
                <c:ptCount val="1"/>
                <c:pt idx="0">
                  <c:v>2022</c:v>
                </c:pt>
              </c:strCache>
            </c:strRef>
          </c:tx>
          <c:spPr>
            <a:solidFill>
              <a:schemeClr val="accent3"/>
            </a:solidFill>
            <a:ln>
              <a:noFill/>
            </a:ln>
            <a:effectLst/>
          </c:spPr>
          <c:invertIfNegative val="0"/>
          <c:dPt>
            <c:idx val="0"/>
            <c:invertIfNegative val="0"/>
            <c:bubble3D val="0"/>
            <c:spPr>
              <a:solidFill>
                <a:schemeClr val="accent3"/>
              </a:solidFill>
              <a:ln w="12700">
                <a:solidFill>
                  <a:schemeClr val="bg1"/>
                </a:solidFill>
              </a:ln>
              <a:effectLst/>
            </c:spPr>
            <c:extLst>
              <c:ext xmlns:c16="http://schemas.microsoft.com/office/drawing/2014/chart" uri="{C3380CC4-5D6E-409C-BE32-E72D297353CC}">
                <c16:uniqueId val="{00000007-4C89-4282-8C4A-B50752D7285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'Financial Ratios'!$M$5</c:f>
              <c:numCache>
                <c:formatCode>0.00</c:formatCode>
                <c:ptCount val="1"/>
                <c:pt idx="0">
                  <c:v>8.5385190725504856</c:v>
                </c:pt>
              </c:numCache>
            </c:numRef>
          </c:val>
          <c:extLst>
            <c:ext xmlns:c16="http://schemas.microsoft.com/office/drawing/2014/chart" uri="{C3380CC4-5D6E-409C-BE32-E72D297353CC}">
              <c16:uniqueId val="{00000001-C135-4003-A8E1-088D97097F99}"/>
            </c:ext>
          </c:extLst>
        </c:ser>
        <c:dLbls>
          <c:dLblPos val="outEnd"/>
          <c:showLegendKey val="0"/>
          <c:showVal val="1"/>
          <c:showCatName val="0"/>
          <c:showSerName val="0"/>
          <c:showPercent val="0"/>
          <c:showBubbleSize val="0"/>
        </c:dLbls>
        <c:gapWidth val="33"/>
        <c:overlap val="-30"/>
        <c:axId val="147940359"/>
        <c:axId val="147942407"/>
      </c:barChart>
      <c:catAx>
        <c:axId val="147940359"/>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Year</a:t>
                </a:r>
              </a:p>
            </c:rich>
          </c:tx>
          <c:layout>
            <c:manualLayout>
              <c:xMode val="edge"/>
              <c:yMode val="edge"/>
              <c:x val="0"/>
              <c:y val="0.4268690762356440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crossAx val="147942407"/>
        <c:crosses val="autoZero"/>
        <c:auto val="1"/>
        <c:lblAlgn val="ctr"/>
        <c:lblOffset val="100"/>
        <c:noMultiLvlLbl val="0"/>
      </c:catAx>
      <c:valAx>
        <c:axId val="147942407"/>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Ratio</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940359"/>
        <c:crosses val="autoZero"/>
        <c:crossBetween val="between"/>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Interest Cover</a:t>
            </a:r>
          </a:p>
        </c:rich>
      </c:tx>
      <c:layout>
        <c:manualLayout>
          <c:xMode val="edge"/>
          <c:yMode val="edge"/>
          <c:x val="0.40555413110859373"/>
          <c:y val="2.7142310124046058E-2"/>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v>Best&amp;Less</c:v>
          </c:tx>
          <c:spPr>
            <a:solidFill>
              <a:schemeClr val="accent4"/>
            </a:solidFill>
            <a:ln w="12700">
              <a:solidFill>
                <a:schemeClr val="lt1"/>
              </a:solidFill>
            </a:ln>
            <a:effectLst/>
          </c:spPr>
          <c:invertIfNegative val="0"/>
          <c:dPt>
            <c:idx val="1"/>
            <c:invertIfNegative val="0"/>
            <c:bubble3D val="0"/>
            <c:spPr>
              <a:solidFill>
                <a:schemeClr val="accent5"/>
              </a:solidFill>
              <a:ln w="12700">
                <a:solidFill>
                  <a:schemeClr val="lt1"/>
                </a:solidFill>
              </a:ln>
              <a:effectLst/>
            </c:spPr>
            <c:extLst>
              <c:ext xmlns:c16="http://schemas.microsoft.com/office/drawing/2014/chart" uri="{C3380CC4-5D6E-409C-BE32-E72D297353CC}">
                <c16:uniqueId val="{00000001-A547-43EE-9810-31F68E2A3E78}"/>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2"/>
              <c:pt idx="0">
                <c:v>6.04</c:v>
              </c:pt>
              <c:pt idx="1">
                <c:v>12.39</c:v>
              </c:pt>
            </c:numLit>
          </c:val>
          <c:extLst>
            <c:ext xmlns:c16="http://schemas.microsoft.com/office/drawing/2014/chart" uri="{C3380CC4-5D6E-409C-BE32-E72D297353CC}">
              <c16:uniqueId val="{00000000-5284-450B-B52F-FD08E37EB99F}"/>
            </c:ext>
          </c:extLst>
        </c:ser>
        <c:dLbls>
          <c:showLegendKey val="0"/>
          <c:showVal val="0"/>
          <c:showCatName val="0"/>
          <c:showSerName val="0"/>
          <c:showPercent val="0"/>
          <c:showBubbleSize val="0"/>
        </c:dLbls>
        <c:gapWidth val="150"/>
        <c:axId val="938637831"/>
        <c:axId val="938639879"/>
      </c:barChart>
      <c:lineChart>
        <c:grouping val="standard"/>
        <c:varyColors val="0"/>
        <c:ser>
          <c:idx val="0"/>
          <c:order val="0"/>
          <c:tx>
            <c:v>Myer</c:v>
          </c:tx>
          <c:spPr>
            <a:ln w="19050" cap="rnd">
              <a:solidFill>
                <a:schemeClr val="accent1"/>
              </a:solidFill>
              <a:round/>
            </a:ln>
            <a:effectLst/>
          </c:spPr>
          <c:marker>
            <c:symbol val="circle"/>
            <c:size val="5"/>
            <c:spPr>
              <a:solidFill>
                <a:srgbClr val="637CEF"/>
              </a:solidFill>
              <a:ln w="9525">
                <a:solidFill>
                  <a:srgbClr val="637CEF"/>
                </a:solidFill>
              </a:ln>
              <a:effectLst/>
            </c:spPr>
          </c:marker>
          <c:dLbls>
            <c:spPr>
              <a:solidFill>
                <a:srgbClr val="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3"/>
              <c:pt idx="0">
                <c:v>1.86</c:v>
              </c:pt>
              <c:pt idx="1">
                <c:v>2.04</c:v>
              </c:pt>
              <c:pt idx="2">
                <c:v>1.75</c:v>
              </c:pt>
            </c:numLit>
          </c:val>
          <c:smooth val="0"/>
          <c:extLst>
            <c:ext xmlns:c16="http://schemas.microsoft.com/office/drawing/2014/chart" uri="{C3380CC4-5D6E-409C-BE32-E72D297353CC}">
              <c16:uniqueId val="{00000000-7A04-4577-9C95-409033B5F7AF}"/>
            </c:ext>
          </c:extLst>
        </c:ser>
        <c:dLbls>
          <c:showLegendKey val="0"/>
          <c:showVal val="0"/>
          <c:showCatName val="0"/>
          <c:showSerName val="0"/>
          <c:showPercent val="0"/>
          <c:showBubbleSize val="0"/>
        </c:dLbls>
        <c:marker val="1"/>
        <c:smooth val="0"/>
        <c:axId val="938637831"/>
        <c:axId val="938639879"/>
      </c:lineChart>
      <c:catAx>
        <c:axId val="938637831"/>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solidFill>
                      <a:schemeClr val="bg1"/>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639879"/>
        <c:crosses val="autoZero"/>
        <c:auto val="1"/>
        <c:lblAlgn val="ctr"/>
        <c:lblOffset val="100"/>
        <c:noMultiLvlLbl val="1"/>
      </c:catAx>
      <c:valAx>
        <c:axId val="938639879"/>
        <c:scaling>
          <c:orientation val="minMax"/>
          <c:max val="1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solidFill>
                      <a:schemeClr val="bg1"/>
                    </a:solidFill>
                  </a:rPr>
                  <a:t>Ratio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637831"/>
        <c:crosses val="autoZero"/>
        <c:crossBetween val="between"/>
        <c:majorUnit val="1"/>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Long-Term Debt-to-Equity Ratio</a:t>
            </a:r>
          </a:p>
          <a:p>
            <a:pPr>
              <a:defRPr b="1"/>
            </a:pPr>
            <a:r>
              <a:rPr lang="en-US" sz="1000" b="1"/>
              <a:t>(excluding lease liabilities)</a:t>
            </a:r>
          </a:p>
        </c:rich>
      </c:tx>
      <c:layout>
        <c:manualLayout>
          <c:xMode val="edge"/>
          <c:yMode val="edge"/>
          <c:x val="0.23309682665270767"/>
          <c:y val="2.7180155205106731E-2"/>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v>Year</c:v>
          </c:tx>
          <c:spPr>
            <a:solidFill>
              <a:schemeClr val="accent1"/>
            </a:solidFill>
            <a:ln w="12700">
              <a:solidFill>
                <a:schemeClr val="bg1"/>
              </a:solid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3"/>
              <c:pt idx="0">
                <c:v>0.23</c:v>
              </c:pt>
              <c:pt idx="1">
                <c:v>0.27</c:v>
              </c:pt>
              <c:pt idx="2">
                <c:v>0.27</c:v>
              </c:pt>
            </c:numLit>
          </c:val>
          <c:extLst>
            <c:ext xmlns:c16="http://schemas.microsoft.com/office/drawing/2014/chart" uri="{C3380CC4-5D6E-409C-BE32-E72D297353CC}">
              <c16:uniqueId val="{00000000-F8A3-4302-BC93-8D545297962B}"/>
            </c:ext>
          </c:extLst>
        </c:ser>
        <c:dLbls>
          <c:showLegendKey val="0"/>
          <c:showVal val="1"/>
          <c:showCatName val="0"/>
          <c:showSerName val="0"/>
          <c:showPercent val="0"/>
          <c:showBubbleSize val="0"/>
        </c:dLbls>
        <c:gapWidth val="150"/>
        <c:axId val="102836743"/>
        <c:axId val="102838791"/>
      </c:barChart>
      <c:catAx>
        <c:axId val="102836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838791"/>
        <c:crosses val="autoZero"/>
        <c:auto val="1"/>
        <c:lblAlgn val="ctr"/>
        <c:lblOffset val="100"/>
        <c:noMultiLvlLbl val="1"/>
      </c:catAx>
      <c:valAx>
        <c:axId val="102838791"/>
        <c:scaling>
          <c:orientation val="minMax"/>
          <c:max val="7"/>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t>Ratio</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836743"/>
        <c:crosses val="autoZero"/>
        <c:crossBetween val="between"/>
        <c:majorUnit val="1"/>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Gearing (D/Eq)</a:t>
            </a:r>
          </a:p>
          <a:p>
            <a:pPr>
              <a:defRPr b="1">
                <a:solidFill>
                  <a:schemeClr val="bg1"/>
                </a:solidFill>
              </a:defRPr>
            </a:pPr>
            <a:r>
              <a:rPr lang="en-US" sz="1000" b="1">
                <a:solidFill>
                  <a:schemeClr val="bg1"/>
                </a:solidFill>
              </a:rPr>
              <a:t>(excluding lease liabilities)</a:t>
            </a:r>
          </a:p>
        </c:rich>
      </c:tx>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'Financial Ratios'!$L$3</c:f>
              <c:strCache>
                <c:ptCount val="1"/>
                <c:pt idx="0">
                  <c:v>2024</c:v>
                </c:pt>
              </c:strCache>
            </c:strRef>
          </c:tx>
          <c:spPr>
            <a:solidFill>
              <a:schemeClr val="accent1"/>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2"/>
              <c:pt idx="0">
                <c:v>0</c:v>
              </c:pt>
              <c:pt idx="1">
                <c:v>8</c:v>
              </c:pt>
            </c:numLit>
          </c:cat>
          <c:val>
            <c:numRef>
              <c:f>'Financial Ratios'!$M$7</c:f>
              <c:numCache>
                <c:formatCode>0.00</c:formatCode>
                <c:ptCount val="1"/>
                <c:pt idx="0">
                  <c:v>2.1701960784313723</c:v>
                </c:pt>
              </c:numCache>
            </c:numRef>
          </c:val>
          <c:extLst>
            <c:ext xmlns:c16="http://schemas.microsoft.com/office/drawing/2014/chart" uri="{C3380CC4-5D6E-409C-BE32-E72D297353CC}">
              <c16:uniqueId val="{00000000-1AA9-4CFC-8C6D-6802E7ADBAFA}"/>
            </c:ext>
          </c:extLst>
        </c:ser>
        <c:ser>
          <c:idx val="1"/>
          <c:order val="1"/>
          <c:tx>
            <c:strRef>
              <c:f>'Financial Ratios'!$L$4</c:f>
              <c:strCache>
                <c:ptCount val="1"/>
                <c:pt idx="0">
                  <c:v>2023</c:v>
                </c:pt>
              </c:strCache>
            </c:strRef>
          </c:tx>
          <c:spPr>
            <a:solidFill>
              <a:schemeClr val="accent2"/>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2"/>
              <c:pt idx="0">
                <c:v>0</c:v>
              </c:pt>
              <c:pt idx="1">
                <c:v>8</c:v>
              </c:pt>
            </c:numLit>
          </c:cat>
          <c:val>
            <c:numRef>
              <c:f>'Financial Ratios'!$M$8</c:f>
              <c:numCache>
                <c:formatCode>0.00</c:formatCode>
                <c:ptCount val="1"/>
                <c:pt idx="0">
                  <c:v>2.2927234927234941</c:v>
                </c:pt>
              </c:numCache>
            </c:numRef>
          </c:val>
          <c:extLst>
            <c:ext xmlns:c16="http://schemas.microsoft.com/office/drawing/2014/chart" uri="{C3380CC4-5D6E-409C-BE32-E72D297353CC}">
              <c16:uniqueId val="{00000001-1AA9-4CFC-8C6D-6802E7ADBAFA}"/>
            </c:ext>
          </c:extLst>
        </c:ser>
        <c:ser>
          <c:idx val="2"/>
          <c:order val="2"/>
          <c:tx>
            <c:strRef>
              <c:f>'Financial Ratios'!$L$5</c:f>
              <c:strCache>
                <c:ptCount val="1"/>
                <c:pt idx="0">
                  <c:v>2022</c:v>
                </c:pt>
              </c:strCache>
            </c:strRef>
          </c:tx>
          <c:spPr>
            <a:solidFill>
              <a:schemeClr val="accent3"/>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2"/>
              <c:pt idx="0">
                <c:v>0</c:v>
              </c:pt>
              <c:pt idx="1">
                <c:v>8</c:v>
              </c:pt>
            </c:numLit>
          </c:cat>
          <c:val>
            <c:numRef>
              <c:f>'Financial Ratios'!$M$9</c:f>
              <c:numCache>
                <c:formatCode>0.00</c:formatCode>
                <c:ptCount val="1"/>
                <c:pt idx="0">
                  <c:v>2.1839940164547489</c:v>
                </c:pt>
              </c:numCache>
            </c:numRef>
          </c:val>
          <c:extLst>
            <c:ext xmlns:c16="http://schemas.microsoft.com/office/drawing/2014/chart" uri="{C3380CC4-5D6E-409C-BE32-E72D297353CC}">
              <c16:uniqueId val="{00000002-1AA9-4CFC-8C6D-6802E7ADBAFA}"/>
            </c:ext>
          </c:extLst>
        </c:ser>
        <c:dLbls>
          <c:dLblPos val="outEnd"/>
          <c:showLegendKey val="0"/>
          <c:showVal val="1"/>
          <c:showCatName val="0"/>
          <c:showSerName val="0"/>
          <c:showPercent val="0"/>
          <c:showBubbleSize val="0"/>
        </c:dLbls>
        <c:gapWidth val="33"/>
        <c:overlap val="-30"/>
        <c:axId val="147940359"/>
        <c:axId val="147942407"/>
      </c:barChart>
      <c:catAx>
        <c:axId val="147940359"/>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Year</a:t>
                </a:r>
              </a:p>
            </c:rich>
          </c:tx>
          <c:layout>
            <c:manualLayout>
              <c:xMode val="edge"/>
              <c:yMode val="edge"/>
              <c:x val="5.5663497938039956E-3"/>
              <c:y val="0.4401711265858002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crossAx val="147942407"/>
        <c:crosses val="autoZero"/>
        <c:auto val="1"/>
        <c:lblAlgn val="ctr"/>
        <c:lblOffset val="100"/>
        <c:noMultiLvlLbl val="0"/>
      </c:catAx>
      <c:valAx>
        <c:axId val="147942407"/>
        <c:scaling>
          <c:orientation val="minMax"/>
          <c:max val="1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Ratio</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940359"/>
        <c:crosses val="autoZero"/>
        <c:crossBetween val="between"/>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Long-Term Debt-to-Equity Ratio</a:t>
            </a:r>
          </a:p>
        </c:rich>
      </c:tx>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v>Myer</c:v>
          </c:tx>
          <c:spPr>
            <a:solidFill>
              <a:schemeClr val="accent1"/>
            </a:solidFill>
            <a:ln w="12700">
              <a:solidFill>
                <a:schemeClr val="bg1"/>
              </a:solidFill>
            </a:ln>
            <a:effectLst/>
          </c:spPr>
          <c:invertIfNegative val="0"/>
          <c:dLbls>
            <c:spPr>
              <a:solidFill>
                <a:srgbClr val="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3"/>
              <c:pt idx="0">
                <c:v>6.05</c:v>
              </c:pt>
              <c:pt idx="1">
                <c:v>6.47</c:v>
              </c:pt>
              <c:pt idx="2">
                <c:v>5.78</c:v>
              </c:pt>
            </c:numLit>
          </c:val>
          <c:extLst>
            <c:ext xmlns:c16="http://schemas.microsoft.com/office/drawing/2014/chart" uri="{C3380CC4-5D6E-409C-BE32-E72D297353CC}">
              <c16:uniqueId val="{00000000-80F0-4177-A678-BC1EF3CBEB89}"/>
            </c:ext>
          </c:extLst>
        </c:ser>
        <c:dLbls>
          <c:showLegendKey val="0"/>
          <c:showVal val="0"/>
          <c:showCatName val="0"/>
          <c:showSerName val="0"/>
          <c:showPercent val="0"/>
          <c:showBubbleSize val="0"/>
        </c:dLbls>
        <c:gapWidth val="150"/>
        <c:axId val="938778119"/>
        <c:axId val="938784263"/>
      </c:barChart>
      <c:catAx>
        <c:axId val="938778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solidFill>
                      <a:schemeClr val="bg1"/>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784263"/>
        <c:crosses val="autoZero"/>
        <c:auto val="1"/>
        <c:lblAlgn val="ctr"/>
        <c:lblOffset val="100"/>
        <c:noMultiLvlLbl val="1"/>
      </c:catAx>
      <c:valAx>
        <c:axId val="93878426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solidFill>
                      <a:schemeClr val="bg1"/>
                    </a:solidFill>
                  </a:rPr>
                  <a:t>Ratio</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778119"/>
        <c:crosses val="autoZero"/>
        <c:crossBetween val="between"/>
        <c:majorUnit val="1"/>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Equity Ratio</a:t>
            </a:r>
          </a:p>
        </c:rich>
      </c:tx>
      <c:layout>
        <c:manualLayout>
          <c:xMode val="edge"/>
          <c:yMode val="edge"/>
          <c:x val="0.40555413110859373"/>
          <c:y val="2.7142310124046058E-2"/>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1"/>
          <c:order val="1"/>
          <c:tx>
            <c:v>Best&amp;Less</c:v>
          </c:tx>
          <c:spPr>
            <a:solidFill>
              <a:schemeClr val="accent4"/>
            </a:solidFill>
            <a:ln w="12700">
              <a:solidFill>
                <a:schemeClr val="bg1"/>
              </a:solidFill>
            </a:ln>
            <a:effectLst/>
          </c:spPr>
          <c:invertIfNegative val="0"/>
          <c:dLbls>
            <c:dLbl>
              <c:idx val="0"/>
              <c:layout>
                <c:manualLayout>
                  <c:x val="-3.3866504107447262E-3"/>
                  <c:y val="-0.2598118993996051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2D-4569-B0C3-5FB7E9065F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0.19</c:v>
              </c:pt>
            </c:numLit>
          </c:val>
          <c:extLst>
            <c:ext xmlns:c16="http://schemas.microsoft.com/office/drawing/2014/chart" uri="{C3380CC4-5D6E-409C-BE32-E72D297353CC}">
              <c16:uniqueId val="{00000002-A42D-4569-B0C3-5FB7E9065FAD}"/>
            </c:ext>
          </c:extLst>
        </c:ser>
        <c:dLbls>
          <c:showLegendKey val="0"/>
          <c:showVal val="0"/>
          <c:showCatName val="0"/>
          <c:showSerName val="0"/>
          <c:showPercent val="0"/>
          <c:showBubbleSize val="0"/>
        </c:dLbls>
        <c:gapWidth val="150"/>
        <c:overlap val="100"/>
        <c:axId val="938637831"/>
        <c:axId val="938639879"/>
      </c:barChart>
      <c:lineChart>
        <c:grouping val="standard"/>
        <c:varyColors val="0"/>
        <c:ser>
          <c:idx val="0"/>
          <c:order val="0"/>
          <c:tx>
            <c:v>Myer</c:v>
          </c:tx>
          <c:spPr>
            <a:ln w="19050" cap="rnd">
              <a:solidFill>
                <a:srgbClr val="637CEF"/>
              </a:solidFill>
              <a:round/>
            </a:ln>
            <a:effectLst/>
          </c:spPr>
          <c:marker>
            <c:symbol val="circle"/>
            <c:size val="5"/>
            <c:spPr>
              <a:solidFill>
                <a:srgbClr val="637CEF"/>
              </a:solidFill>
              <a:ln w="9525">
                <a:solidFill>
                  <a:srgbClr val="637CEF"/>
                </a:solidFill>
              </a:ln>
              <a:effectLst/>
            </c:spPr>
          </c:marker>
          <c:dLbls>
            <c:dLbl>
              <c:idx val="0"/>
              <c:layout>
                <c:manualLayout>
                  <c:x val="0"/>
                  <c:y val="-4.1755483832079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2D-4569-B0C3-5FB7E9065FA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2022</c:v>
              </c:pt>
              <c:pt idx="1">
                <c:v>2023</c:v>
              </c:pt>
              <c:pt idx="2">
                <c:v>2024</c:v>
              </c:pt>
            </c:numLit>
          </c:cat>
          <c:val>
            <c:numLit>
              <c:formatCode>General</c:formatCode>
              <c:ptCount val="3"/>
              <c:pt idx="0">
                <c:v>0.1</c:v>
              </c:pt>
              <c:pt idx="1">
                <c:v>0.1</c:v>
              </c:pt>
              <c:pt idx="2">
                <c:v>0.11</c:v>
              </c:pt>
            </c:numLit>
          </c:val>
          <c:smooth val="0"/>
          <c:extLst>
            <c:ext xmlns:c16="http://schemas.microsoft.com/office/drawing/2014/chart" uri="{C3380CC4-5D6E-409C-BE32-E72D297353CC}">
              <c16:uniqueId val="{00000001-A42D-4569-B0C3-5FB7E9065FAD}"/>
            </c:ext>
          </c:extLst>
        </c:ser>
        <c:dLbls>
          <c:showLegendKey val="0"/>
          <c:showVal val="0"/>
          <c:showCatName val="0"/>
          <c:showSerName val="0"/>
          <c:showPercent val="0"/>
          <c:showBubbleSize val="0"/>
        </c:dLbls>
        <c:marker val="1"/>
        <c:smooth val="0"/>
        <c:axId val="938637831"/>
        <c:axId val="938639879"/>
      </c:lineChart>
      <c:catAx>
        <c:axId val="938637831"/>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solidFill>
                      <a:schemeClr val="bg1"/>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639879"/>
        <c:crosses val="autoZero"/>
        <c:auto val="1"/>
        <c:lblAlgn val="ctr"/>
        <c:lblOffset val="100"/>
        <c:noMultiLvlLbl val="0"/>
      </c:catAx>
      <c:valAx>
        <c:axId val="938639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AU" b="1">
                    <a:solidFill>
                      <a:schemeClr val="bg1"/>
                    </a:solidFill>
                  </a:rPr>
                  <a:t>Ratio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8637831"/>
        <c:crosses val="autoZero"/>
        <c:crossBetween val="between"/>
        <c:majorUnit val="2.0000000000000004E-2"/>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[Accounting Information Systems - Group Assignment Due 12 October.xlsx]Market-Based Performance!PivotTable1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Dividend payout ratio</a:t>
            </a:r>
          </a:p>
        </c:rich>
      </c:tx>
      <c:overlay val="0"/>
      <c:spPr>
        <a:solidFill>
          <a:srgbClr val="4D93D9"/>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41.1%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7"/>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a:outerShdw blurRad="57150" dist="19050" dir="5400000" algn="ctr" rotWithShape="0">
              <a:srgbClr val="000000">
                <a:alpha val="63000"/>
              </a:srgbClr>
            </a:outerShdw>
          </a:effectLst>
        </c:spPr>
      </c:pivotFmt>
      <c:pivotFmt>
        <c:idx val="7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41.1%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41.1%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6"/>
        <c:spPr>
          <a:solidFill>
            <a:schemeClr val="accent4"/>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41.1%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7"/>
        <c:spPr>
          <a:solidFill>
            <a:schemeClr val="accent4"/>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41.1%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8"/>
        <c:spPr>
          <a:solidFill>
            <a:schemeClr val="accent4"/>
          </a:solidFill>
          <a:ln>
            <a:noFill/>
          </a:ln>
          <a:effectLst>
            <a:outerShdw blurRad="57150" dist="19050" dir="5400000" algn="ctr" rotWithShape="0">
              <a:srgbClr val="000000">
                <a:alpha val="63000"/>
              </a:srgbClr>
            </a:outerShdw>
          </a:effectLst>
        </c:spPr>
      </c:pivotFmt>
      <c:pivotFmt>
        <c:idx val="79"/>
        <c:spPr>
          <a:solidFill>
            <a:schemeClr val="accent4"/>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'Market-Based Performance'!$B$88</c:f>
              <c:strCache>
                <c:ptCount val="1"/>
                <c:pt idx="0">
                  <c:v>Sum of Industry Average</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'Market-Based Performance'!$A$89:$A$92</c:f>
              <c:strCache>
                <c:ptCount val="4"/>
                <c:pt idx="0">
                  <c:v>2022</c:v>
                </c:pt>
                <c:pt idx="1">
                  <c:v>2023</c:v>
                </c:pt>
                <c:pt idx="2">
                  <c:v>2024</c:v>
                </c:pt>
                <c:pt idx="3">
                  <c:v>Total</c:v>
                </c:pt>
              </c:strCache>
            </c:strRef>
          </c:cat>
          <c:val>
            <c:numRef>
              <c:f>'Market-Based Performance'!$B$89:$B$92</c:f>
              <c:numCache>
                <c:formatCode>0.00%</c:formatCode>
                <c:ptCount val="4"/>
                <c:pt idx="0">
                  <c:v>0.58209999999999995</c:v>
                </c:pt>
                <c:pt idx="1">
                  <c:v>0.60170000000000001</c:v>
                </c:pt>
                <c:pt idx="2">
                  <c:v>0.63</c:v>
                </c:pt>
                <c:pt idx="3">
                  <c:v>1.8138000000000001</c:v>
                </c:pt>
              </c:numCache>
            </c:numRef>
          </c:val>
          <c:extLst>
            <c:ext xmlns:c16="http://schemas.microsoft.com/office/drawing/2014/chart" uri="{C3380CC4-5D6E-409C-BE32-E72D297353CC}">
              <c16:uniqueId val="{00000000-4693-4557-B5B3-3B1F0DB680CE}"/>
            </c:ext>
          </c:extLst>
        </c:ser>
        <c:ser>
          <c:idx val="1"/>
          <c:order val="1"/>
          <c:tx>
            <c:strRef>
              <c:f>'Market-Based Performance'!$C$88</c:f>
              <c:strCache>
                <c:ptCount val="1"/>
                <c:pt idx="0">
                  <c:v>Sum of Myer</c:v>
                </c:pt>
              </c:strCache>
            </c:strRef>
          </c:tx>
          <c:spPr>
            <a:solidFill>
              <a:schemeClr val="accent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'Market-Based Performance'!$A$89:$A$92</c:f>
              <c:strCache>
                <c:ptCount val="4"/>
                <c:pt idx="0">
                  <c:v>2022</c:v>
                </c:pt>
                <c:pt idx="1">
                  <c:v>2023</c:v>
                </c:pt>
                <c:pt idx="2">
                  <c:v>2024</c:v>
                </c:pt>
                <c:pt idx="3">
                  <c:v>Total</c:v>
                </c:pt>
              </c:strCache>
            </c:strRef>
          </c:cat>
          <c:val>
            <c:numRef>
              <c:f>'Market-Based Performance'!$C$89:$C$92</c:f>
              <c:numCache>
                <c:formatCode>0.00%</c:formatCode>
                <c:ptCount val="4"/>
                <c:pt idx="0">
                  <c:v>0.66669999999999996</c:v>
                </c:pt>
                <c:pt idx="1">
                  <c:v>1.2161999999999999</c:v>
                </c:pt>
                <c:pt idx="2">
                  <c:v>0.67310000000000003</c:v>
                </c:pt>
                <c:pt idx="3">
                  <c:v>2.556</c:v>
                </c:pt>
              </c:numCache>
            </c:numRef>
          </c:val>
          <c:extLst>
            <c:ext xmlns:c16="http://schemas.microsoft.com/office/drawing/2014/chart" uri="{C3380CC4-5D6E-409C-BE32-E72D297353CC}">
              <c16:uniqueId val="{00000001-4693-4557-B5B3-3B1F0DB680CE}"/>
            </c:ext>
          </c:extLst>
        </c:ser>
        <c:ser>
          <c:idx val="2"/>
          <c:order val="2"/>
          <c:tx>
            <c:strRef>
              <c:f>'Market-Based Performance'!$D$88</c:f>
              <c:strCache>
                <c:ptCount val="1"/>
                <c:pt idx="0">
                  <c:v>Sum of Best and Less</c:v>
                </c:pt>
              </c:strCache>
            </c:strRef>
          </c:tx>
          <c:spPr>
            <a:solidFill>
              <a:schemeClr val="accent4"/>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E5-4827-B137-85F83EF90723}"/>
              </c:ext>
            </c:extLst>
          </c:dPt>
          <c:dPt>
            <c:idx val="3"/>
            <c:invertIfNegative val="0"/>
            <c:bubble3D val="0"/>
            <c:extLst>
              <c:ext xmlns:c16="http://schemas.microsoft.com/office/drawing/2014/chart" uri="{C3380CC4-5D6E-409C-BE32-E72D297353CC}">
                <c16:uniqueId val="{00000003-7F60-421F-8E22-C8951107943D}"/>
              </c:ext>
            </c:extLst>
          </c:dPt>
          <c:dLbls>
            <c:dLbl>
              <c:idx val="0"/>
              <c:tx>
                <c:rich>
                  <a:bodyPr/>
                  <a:lstStyle/>
                  <a:p>
                    <a:r>
                      <a:rPr lang="en-US"/>
                      <a:t>41.1%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FE5-4827-B137-85F83EF90723}"/>
                </c:ext>
              </c:extLst>
            </c:dLbl>
            <c:dLbl>
              <c:idx val="3"/>
              <c:tx>
                <c:rich>
                  <a:bodyPr/>
                  <a:lstStyle/>
                  <a:p>
                    <a:r>
                      <a:rPr lang="en-US"/>
                      <a:t>41.1%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60-421F-8E22-C895110794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'Market-Based Performance'!$A$89:$A$92</c:f>
              <c:strCache>
                <c:ptCount val="4"/>
                <c:pt idx="0">
                  <c:v>2022</c:v>
                </c:pt>
                <c:pt idx="1">
                  <c:v>2023</c:v>
                </c:pt>
                <c:pt idx="2">
                  <c:v>2024</c:v>
                </c:pt>
                <c:pt idx="3">
                  <c:v>Total</c:v>
                </c:pt>
              </c:strCache>
            </c:strRef>
          </c:cat>
          <c:val>
            <c:numRef>
              <c:f>'Market-Based Performance'!$D$89:$D$92</c:f>
              <c:numCache>
                <c:formatCode>General</c:formatCode>
                <c:ptCount val="4"/>
                <c:pt idx="0">
                  <c:v>0.41</c:v>
                </c:pt>
                <c:pt idx="3">
                  <c:v>0.41</c:v>
                </c:pt>
              </c:numCache>
            </c:numRef>
          </c:val>
          <c:extLst>
            <c:ext xmlns:c16="http://schemas.microsoft.com/office/drawing/2014/chart" uri="{C3380CC4-5D6E-409C-BE32-E72D297353CC}">
              <c16:uniqueId val="{00000002-4693-4557-B5B3-3B1F0DB680CE}"/>
            </c:ext>
          </c:extLst>
        </c:ser>
        <c:dLbls>
          <c:showLegendKey val="0"/>
          <c:showVal val="0"/>
          <c:showCatName val="0"/>
          <c:showSerName val="0"/>
          <c:showPercent val="0"/>
          <c:showBubbleSize val="0"/>
        </c:dLbls>
        <c:gapWidth val="100"/>
        <c:overlap val="-24"/>
        <c:axId val="671984136"/>
        <c:axId val="262283783"/>
      </c:barChart>
      <c:catAx>
        <c:axId val="671984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283783"/>
        <c:crosses val="autoZero"/>
        <c:auto val="1"/>
        <c:lblAlgn val="ctr"/>
        <c:lblOffset val="100"/>
        <c:noMultiLvlLbl val="0"/>
      </c:catAx>
      <c:valAx>
        <c:axId val="262283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84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0E2841"/>
    </a:solidFill>
    <a:ln>
      <a:noFill/>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Basic EPS</a:t>
            </a:r>
            <a:r>
              <a:rPr lang="en-US" b="1" baseline="0"/>
              <a:t> </a:t>
            </a:r>
            <a:endParaRPr lang="en-US" b="1"/>
          </a:p>
        </c:rich>
      </c:tx>
      <c:layout>
        <c:manualLayout>
          <c:xMode val="edge"/>
          <c:yMode val="edge"/>
          <c:x val="0.43152623914713756"/>
          <c:y val="4.2168063349229734E-2"/>
        </c:manualLayout>
      </c:layout>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Best&amp;Less</c:v>
          </c:tx>
          <c:spPr>
            <a:solidFill>
              <a:schemeClr val="accent4"/>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29.2</c:v>
              </c:pt>
            </c:numLit>
          </c:val>
          <c:extLst>
            <c:ext xmlns:c16="http://schemas.microsoft.com/office/drawing/2014/chart" uri="{C3380CC4-5D6E-409C-BE32-E72D297353CC}">
              <c16:uniqueId val="{00000000-228C-409D-9508-BC0E96B17D1C}"/>
            </c:ext>
          </c:extLst>
        </c:ser>
        <c:dLbls>
          <c:showLegendKey val="0"/>
          <c:showVal val="1"/>
          <c:showCatName val="0"/>
          <c:showSerName val="0"/>
          <c:showPercent val="0"/>
          <c:showBubbleSize val="0"/>
        </c:dLbls>
        <c:gapWidth val="150"/>
        <c:axId val="106505736"/>
        <c:axId val="106514952"/>
      </c:barChart>
      <c:lineChart>
        <c:grouping val="standard"/>
        <c:varyColors val="0"/>
        <c:ser>
          <c:idx val="0"/>
          <c:order val="0"/>
          <c:tx>
            <c:v>Myer</c:v>
          </c:tx>
          <c:spPr>
            <a:ln w="28575" cap="rnd">
              <a:solidFill>
                <a:srgbClr val="637CEF"/>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Lit>
              <c:formatCode>General</c:formatCode>
              <c:ptCount val="3"/>
              <c:pt idx="0">
                <c:v>6</c:v>
              </c:pt>
              <c:pt idx="1">
                <c:v>7.4</c:v>
              </c:pt>
              <c:pt idx="2">
                <c:v>5.2</c:v>
              </c:pt>
            </c:numLit>
          </c:val>
          <c:smooth val="0"/>
          <c:extLst>
            <c:ext xmlns:c16="http://schemas.microsoft.com/office/drawing/2014/chart" uri="{C3380CC4-5D6E-409C-BE32-E72D297353CC}">
              <c16:uniqueId val="{00000001-228C-409D-9508-BC0E96B17D1C}"/>
            </c:ext>
          </c:extLst>
        </c:ser>
        <c:dLbls>
          <c:showLegendKey val="0"/>
          <c:showVal val="1"/>
          <c:showCatName val="0"/>
          <c:showSerName val="0"/>
          <c:showPercent val="0"/>
          <c:showBubbleSize val="0"/>
        </c:dLbls>
        <c:marker val="1"/>
        <c:smooth val="0"/>
        <c:axId val="106505736"/>
        <c:axId val="106514952"/>
      </c:lineChart>
      <c:catAx>
        <c:axId val="106505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14952"/>
        <c:crosses val="autoZero"/>
        <c:auto val="1"/>
        <c:lblAlgn val="ctr"/>
        <c:lblOffset val="100"/>
        <c:noMultiLvlLbl val="0"/>
      </c:catAx>
      <c:valAx>
        <c:axId val="106514952"/>
        <c:scaling>
          <c:orientation val="minMax"/>
          <c:max val="3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Basic EPS (cents)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05736"/>
        <c:crosses val="autoZero"/>
        <c:crossBetween val="between"/>
        <c:majorUnit val="5"/>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P/E Ratio</a:t>
            </a:r>
          </a:p>
        </c:rich>
      </c:tx>
      <c:layout>
        <c:manualLayout>
          <c:xMode val="edge"/>
          <c:yMode val="edge"/>
          <c:x val="0.3720074592360228"/>
          <c:y val="4.2168055212312303E-2"/>
        </c:manualLayout>
      </c:layout>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Best&amp;Less</c:v>
          </c:tx>
          <c:spPr>
            <a:solidFill>
              <a:schemeClr val="accent4"/>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7.57</c:v>
              </c:pt>
            </c:numLit>
          </c:val>
          <c:extLst>
            <c:ext xmlns:c16="http://schemas.microsoft.com/office/drawing/2014/chart" uri="{C3380CC4-5D6E-409C-BE32-E72D297353CC}">
              <c16:uniqueId val="{00000000-BADD-4287-ACFA-3061503EC4A2}"/>
            </c:ext>
          </c:extLst>
        </c:ser>
        <c:dLbls>
          <c:showLegendKey val="0"/>
          <c:showVal val="1"/>
          <c:showCatName val="0"/>
          <c:showSerName val="0"/>
          <c:showPercent val="0"/>
          <c:showBubbleSize val="0"/>
        </c:dLbls>
        <c:gapWidth val="150"/>
        <c:axId val="106505736"/>
        <c:axId val="106514952"/>
      </c:barChart>
      <c:lineChart>
        <c:grouping val="standard"/>
        <c:varyColors val="0"/>
        <c:ser>
          <c:idx val="0"/>
          <c:order val="0"/>
          <c:tx>
            <c:v>Myer</c:v>
          </c:tx>
          <c:spPr>
            <a:ln w="28575" cap="rnd">
              <a:solidFill>
                <a:srgbClr val="637CEF"/>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Lit>
              <c:formatCode>General</c:formatCode>
              <c:ptCount val="3"/>
              <c:pt idx="0">
                <c:v>7.83</c:v>
              </c:pt>
              <c:pt idx="1">
                <c:v>8.7799999999999994</c:v>
              </c:pt>
              <c:pt idx="2">
                <c:v>15.77</c:v>
              </c:pt>
            </c:numLit>
          </c:val>
          <c:smooth val="0"/>
          <c:extLst>
            <c:ext xmlns:c16="http://schemas.microsoft.com/office/drawing/2014/chart" uri="{C3380CC4-5D6E-409C-BE32-E72D297353CC}">
              <c16:uniqueId val="{00000001-BADD-4287-ACFA-3061503EC4A2}"/>
            </c:ext>
          </c:extLst>
        </c:ser>
        <c:dLbls>
          <c:showLegendKey val="0"/>
          <c:showVal val="1"/>
          <c:showCatName val="0"/>
          <c:showSerName val="0"/>
          <c:showPercent val="0"/>
          <c:showBubbleSize val="0"/>
        </c:dLbls>
        <c:marker val="1"/>
        <c:smooth val="0"/>
        <c:axId val="106505736"/>
        <c:axId val="106514952"/>
      </c:lineChart>
      <c:catAx>
        <c:axId val="106505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14952"/>
        <c:crosses val="autoZero"/>
        <c:auto val="1"/>
        <c:lblAlgn val="ctr"/>
        <c:lblOffset val="100"/>
        <c:noMultiLvlLbl val="0"/>
      </c:catAx>
      <c:valAx>
        <c:axId val="106514952"/>
        <c:scaling>
          <c:orientation val="minMax"/>
          <c:max val="16"/>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Ratio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05736"/>
        <c:crosses val="autoZero"/>
        <c:crossBetween val="between"/>
        <c:majorUnit val="4"/>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Share Price</a:t>
            </a:r>
          </a:p>
        </c:rich>
      </c:tx>
      <c:layout>
        <c:manualLayout>
          <c:xMode val="edge"/>
          <c:yMode val="edge"/>
          <c:x val="0.3720074592360228"/>
          <c:y val="4.2168055212312303E-2"/>
        </c:manualLayout>
      </c:layout>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Best&amp;Less</c:v>
          </c:tx>
          <c:spPr>
            <a:solidFill>
              <a:schemeClr val="accent4"/>
            </a:solidFill>
            <a:ln w="12700">
              <a:solidFill>
                <a:schemeClr val="bg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2.21</c:v>
              </c:pt>
            </c:numLit>
          </c:val>
          <c:extLst>
            <c:ext xmlns:c16="http://schemas.microsoft.com/office/drawing/2014/chart" uri="{C3380CC4-5D6E-409C-BE32-E72D297353CC}">
              <c16:uniqueId val="{00000000-EB33-4457-A639-7A67FCF22E6B}"/>
            </c:ext>
          </c:extLst>
        </c:ser>
        <c:dLbls>
          <c:showLegendKey val="0"/>
          <c:showVal val="1"/>
          <c:showCatName val="0"/>
          <c:showSerName val="0"/>
          <c:showPercent val="0"/>
          <c:showBubbleSize val="0"/>
        </c:dLbls>
        <c:gapWidth val="150"/>
        <c:axId val="106505736"/>
        <c:axId val="106514952"/>
      </c:barChart>
      <c:lineChart>
        <c:grouping val="standard"/>
        <c:varyColors val="0"/>
        <c:ser>
          <c:idx val="0"/>
          <c:order val="0"/>
          <c:tx>
            <c:v>Myer</c:v>
          </c:tx>
          <c:spPr>
            <a:ln w="28575" cap="rnd">
              <a:solidFill>
                <a:srgbClr val="637CEF"/>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Lit>
              <c:formatCode>General</c:formatCode>
              <c:ptCount val="3"/>
              <c:pt idx="0">
                <c:v>0.47</c:v>
              </c:pt>
              <c:pt idx="1">
                <c:v>0.65</c:v>
              </c:pt>
              <c:pt idx="2">
                <c:v>0.82</c:v>
              </c:pt>
            </c:numLit>
          </c:val>
          <c:smooth val="0"/>
          <c:extLst>
            <c:ext xmlns:c16="http://schemas.microsoft.com/office/drawing/2014/chart" uri="{C3380CC4-5D6E-409C-BE32-E72D297353CC}">
              <c16:uniqueId val="{00000001-EB33-4457-A639-7A67FCF22E6B}"/>
            </c:ext>
          </c:extLst>
        </c:ser>
        <c:dLbls>
          <c:showLegendKey val="0"/>
          <c:showVal val="1"/>
          <c:showCatName val="0"/>
          <c:showSerName val="0"/>
          <c:showPercent val="0"/>
          <c:showBubbleSize val="0"/>
        </c:dLbls>
        <c:marker val="1"/>
        <c:smooth val="0"/>
        <c:axId val="106505736"/>
        <c:axId val="106514952"/>
      </c:lineChart>
      <c:catAx>
        <c:axId val="106505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14952"/>
        <c:crosses val="autoZero"/>
        <c:auto val="1"/>
        <c:lblAlgn val="ctr"/>
        <c:lblOffset val="100"/>
        <c:noMultiLvlLbl val="0"/>
      </c:catAx>
      <c:valAx>
        <c:axId val="106514952"/>
        <c:scaling>
          <c:orientation val="minMax"/>
          <c:max val="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SHare</a:t>
                </a:r>
                <a:r>
                  <a:rPr lang="en-US" b="1" baseline="0"/>
                  <a:t> Price ($)</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05736"/>
        <c:crosses val="autoZero"/>
        <c:crossBetween val="between"/>
        <c:majorUnit val="0.25"/>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Dividend Yield</a:t>
            </a:r>
          </a:p>
        </c:rich>
      </c:tx>
      <c:layout>
        <c:manualLayout>
          <c:xMode val="edge"/>
          <c:yMode val="edge"/>
          <c:x val="0.43152623914713756"/>
          <c:y val="4.2168063349229734E-2"/>
        </c:manualLayout>
      </c:layout>
      <c:overlay val="0"/>
      <c:spPr>
        <a:solidFill>
          <a:schemeClr val="tx2">
            <a:lumMod val="50000"/>
            <a:lumOff val="50000"/>
          </a:schemeClr>
        </a:solidFill>
        <a:ln>
          <a:solidFill>
            <a:srgbClr val="156082"/>
          </a:solidFill>
          <a:prstDash val="solid"/>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Best&amp;Less</c:v>
          </c:tx>
          <c:spPr>
            <a:solidFill>
              <a:schemeClr val="accent4"/>
            </a:solidFill>
            <a:ln w="12700">
              <a:solidFill>
                <a:schemeClr val="bg1"/>
              </a:solidFill>
            </a:ln>
            <a:effectLst/>
          </c:spPr>
          <c:invertIfNegative val="0"/>
          <c:dLbls>
            <c:dLbl>
              <c:idx val="0"/>
              <c:layout>
                <c:manualLayout>
                  <c:x val="2.9956080960047044E-17"/>
                  <c:y val="0.101886868137623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1A-44CB-B6F8-6005A4A5FBA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5.43</c:v>
              </c:pt>
            </c:numLit>
          </c:val>
          <c:extLst>
            <c:ext xmlns:c16="http://schemas.microsoft.com/office/drawing/2014/chart" uri="{C3380CC4-5D6E-409C-BE32-E72D297353CC}">
              <c16:uniqueId val="{00000000-931A-44CB-B6F8-6005A4A5FBA5}"/>
            </c:ext>
          </c:extLst>
        </c:ser>
        <c:dLbls>
          <c:showLegendKey val="0"/>
          <c:showVal val="1"/>
          <c:showCatName val="0"/>
          <c:showSerName val="0"/>
          <c:showPercent val="0"/>
          <c:showBubbleSize val="0"/>
        </c:dLbls>
        <c:gapWidth val="150"/>
        <c:axId val="106505736"/>
        <c:axId val="106514952"/>
      </c:barChart>
      <c:lineChart>
        <c:grouping val="standard"/>
        <c:varyColors val="0"/>
        <c:ser>
          <c:idx val="0"/>
          <c:order val="0"/>
          <c:tx>
            <c:v>Myer</c:v>
          </c:tx>
          <c:spPr>
            <a:ln w="28575" cap="rnd">
              <a:solidFill>
                <a:srgbClr val="637CEF"/>
              </a:solidFill>
              <a:round/>
            </a:ln>
            <a:effectLst/>
          </c:spPr>
          <c:marker>
            <c:symbol val="circle"/>
            <c:size val="5"/>
            <c:spPr>
              <a:solidFill>
                <a:schemeClr val="accent1"/>
              </a:solidFill>
              <a:ln w="9525">
                <a:solidFill>
                  <a:schemeClr val="accent1"/>
                </a:solidFill>
              </a:ln>
              <a:effectLst/>
            </c:spPr>
          </c:marker>
          <c:dLbls>
            <c:dLbl>
              <c:idx val="0"/>
              <c:layout>
                <c:manualLayout>
                  <c:x val="-6.5359477124183038E-2"/>
                  <c:y val="-7.3584960321616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1A-44CB-B6F8-6005A4A5FBA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Lit>
              <c:formatCode>General</c:formatCode>
              <c:ptCount val="3"/>
              <c:pt idx="0">
                <c:v>8.51</c:v>
              </c:pt>
              <c:pt idx="1">
                <c:v>13.85</c:v>
              </c:pt>
              <c:pt idx="2">
                <c:v>4.2699999999999996</c:v>
              </c:pt>
            </c:numLit>
          </c:val>
          <c:smooth val="0"/>
          <c:extLst>
            <c:ext xmlns:c16="http://schemas.microsoft.com/office/drawing/2014/chart" uri="{C3380CC4-5D6E-409C-BE32-E72D297353CC}">
              <c16:uniqueId val="{00000001-931A-44CB-B6F8-6005A4A5FBA5}"/>
            </c:ext>
          </c:extLst>
        </c:ser>
        <c:dLbls>
          <c:showLegendKey val="0"/>
          <c:showVal val="1"/>
          <c:showCatName val="0"/>
          <c:showSerName val="0"/>
          <c:showPercent val="0"/>
          <c:showBubbleSize val="0"/>
        </c:dLbls>
        <c:marker val="1"/>
        <c:smooth val="0"/>
        <c:axId val="106505736"/>
        <c:axId val="106514952"/>
      </c:lineChart>
      <c:catAx>
        <c:axId val="106505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14952"/>
        <c:crosses val="autoZero"/>
        <c:auto val="1"/>
        <c:lblAlgn val="ctr"/>
        <c:lblOffset val="100"/>
        <c:noMultiLvlLbl val="0"/>
      </c:catAx>
      <c:valAx>
        <c:axId val="106514952"/>
        <c:scaling>
          <c:orientation val="minMax"/>
          <c:max val="1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t>Yield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05736"/>
        <c:crosses val="autoZero"/>
        <c:crossBetween val="between"/>
        <c:majorUnit val="5"/>
      </c:valAx>
      <c:spPr>
        <a:noFill/>
        <a:ln>
          <a:noFill/>
        </a:ln>
        <a:effectLst/>
      </c:spPr>
    </c:plotArea>
    <c:plotVisOnly val="1"/>
    <c:dispBlanksAs val="gap"/>
    <c:showDLblsOverMax val="0"/>
  </c:chart>
  <c:spPr>
    <a:solidFill>
      <a:srgbClr val="0E284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2E3943C-550C-4F6F-BE7B-28D674E0291E}" type="doc">
      <dgm:prSet loTypeId="urn:microsoft.com/office/officeart/2017/3/layout/DropPinTimeline" loCatId="process" qsTypeId="urn:microsoft.com/office/officeart/2005/8/quickstyle/simple1" qsCatId="simple" csTypeId="urn:microsoft.com/office/officeart/2005/8/colors/colorful2" csCatId="colorful" phldr="1"/>
      <dgm:spPr/>
      <dgm:t>
        <a:bodyPr/>
        <a:lstStyle/>
        <a:p>
          <a:endParaRPr lang="en-US"/>
        </a:p>
      </dgm:t>
    </dgm:pt>
    <dgm:pt modelId="{61B41B6E-E706-4851-BAAA-0D2E6A6DA323}">
      <dgm:prSet/>
      <dgm:spPr/>
      <dgm:t>
        <a:bodyPr/>
        <a:lstStyle/>
        <a:p>
          <a:pPr>
            <a:defRPr b="1"/>
          </a:pPr>
          <a:r>
            <a:rPr lang="en-US" b="1"/>
            <a:t>2022</a:t>
          </a:r>
        </a:p>
      </dgm:t>
    </dgm:pt>
    <dgm:pt modelId="{3654D46F-4E7B-4D26-A3B4-493364D24DD3}" type="parTrans" cxnId="{20B0AF11-49C5-4F4F-A65D-71C5D66C8431}">
      <dgm:prSet/>
      <dgm:spPr/>
      <dgm:t>
        <a:bodyPr/>
        <a:lstStyle/>
        <a:p>
          <a:endParaRPr lang="en-US" b="1"/>
        </a:p>
      </dgm:t>
    </dgm:pt>
    <dgm:pt modelId="{211A6A6F-A225-4A27-89FF-F6DCDB3681C0}" type="sibTrans" cxnId="{20B0AF11-49C5-4F4F-A65D-71C5D66C8431}">
      <dgm:prSet/>
      <dgm:spPr/>
      <dgm:t>
        <a:bodyPr/>
        <a:lstStyle/>
        <a:p>
          <a:endParaRPr lang="en-US" b="1"/>
        </a:p>
      </dgm:t>
    </dgm:pt>
    <dgm:pt modelId="{EB5D5E34-6856-41E1-98D1-92C25DC63239}">
      <dgm:prSet/>
      <dgm:spPr/>
      <dgm:t>
        <a:bodyPr/>
        <a:lstStyle/>
        <a:p>
          <a:r>
            <a:rPr lang="en-US" b="1" dirty="0"/>
            <a:t>Total Revenue – $2649.9m</a:t>
          </a:r>
        </a:p>
      </dgm:t>
    </dgm:pt>
    <dgm:pt modelId="{EF41CEDC-7947-4E35-AB64-B5B15372E1B3}" type="parTrans" cxnId="{535C61A6-2A88-421C-B57B-3233DCCA7BE8}">
      <dgm:prSet/>
      <dgm:spPr/>
      <dgm:t>
        <a:bodyPr/>
        <a:lstStyle/>
        <a:p>
          <a:endParaRPr lang="en-US" b="1"/>
        </a:p>
      </dgm:t>
    </dgm:pt>
    <dgm:pt modelId="{F3433698-3AD9-4BC9-8B02-4347F33AE2B1}" type="sibTrans" cxnId="{535C61A6-2A88-421C-B57B-3233DCCA7BE8}">
      <dgm:prSet/>
      <dgm:spPr/>
      <dgm:t>
        <a:bodyPr/>
        <a:lstStyle/>
        <a:p>
          <a:endParaRPr lang="en-US" b="1"/>
        </a:p>
      </dgm:t>
    </dgm:pt>
    <dgm:pt modelId="{89C38AAE-77E0-4D04-92A3-A9FE9E113714}">
      <dgm:prSet/>
      <dgm:spPr/>
      <dgm:t>
        <a:bodyPr/>
        <a:lstStyle/>
        <a:p>
          <a:pPr>
            <a:defRPr b="1"/>
          </a:pPr>
          <a:r>
            <a:rPr lang="en-US" b="1" dirty="0"/>
            <a:t>2023</a:t>
          </a:r>
        </a:p>
      </dgm:t>
    </dgm:pt>
    <dgm:pt modelId="{BB778D5F-1D8B-425D-976D-F5500AD5975A}" type="parTrans" cxnId="{B71B82A5-E2E4-4469-9175-BBF3992ABBDB}">
      <dgm:prSet/>
      <dgm:spPr/>
      <dgm:t>
        <a:bodyPr/>
        <a:lstStyle/>
        <a:p>
          <a:endParaRPr lang="en-US" b="1"/>
        </a:p>
      </dgm:t>
    </dgm:pt>
    <dgm:pt modelId="{69C1BE28-DD12-4AFA-974B-DE262BF2F964}" type="sibTrans" cxnId="{B71B82A5-E2E4-4469-9175-BBF3992ABBDB}">
      <dgm:prSet/>
      <dgm:spPr/>
      <dgm:t>
        <a:bodyPr/>
        <a:lstStyle/>
        <a:p>
          <a:endParaRPr lang="en-US" b="1"/>
        </a:p>
      </dgm:t>
    </dgm:pt>
    <dgm:pt modelId="{6D7123F4-12FF-459A-9815-2B2A47E04184}">
      <dgm:prSet/>
      <dgm:spPr/>
      <dgm:t>
        <a:bodyPr/>
        <a:lstStyle/>
        <a:p>
          <a:r>
            <a:rPr lang="en-US" b="1" dirty="0"/>
            <a:t>Net Profit -$52.6m</a:t>
          </a:r>
        </a:p>
      </dgm:t>
    </dgm:pt>
    <dgm:pt modelId="{2FDBF90F-B9B5-457A-BB42-C53449D23450}" type="parTrans" cxnId="{9713AD0D-1956-4C82-9E4B-713A9AF9314A}">
      <dgm:prSet/>
      <dgm:spPr/>
      <dgm:t>
        <a:bodyPr/>
        <a:lstStyle/>
        <a:p>
          <a:endParaRPr lang="en-AU" b="1"/>
        </a:p>
      </dgm:t>
    </dgm:pt>
    <dgm:pt modelId="{C46E191C-5CDD-4536-82CC-D65016C45354}" type="sibTrans" cxnId="{9713AD0D-1956-4C82-9E4B-713A9AF9314A}">
      <dgm:prSet/>
      <dgm:spPr/>
      <dgm:t>
        <a:bodyPr/>
        <a:lstStyle/>
        <a:p>
          <a:endParaRPr lang="en-AU" b="1"/>
        </a:p>
      </dgm:t>
    </dgm:pt>
    <dgm:pt modelId="{19BD3E34-6D03-4D5A-8613-86D6A6283691}">
      <dgm:prSet/>
      <dgm:spPr/>
      <dgm:t>
        <a:bodyPr/>
        <a:lstStyle/>
        <a:p>
          <a:pPr>
            <a:defRPr b="1"/>
          </a:pPr>
          <a:r>
            <a:rPr lang="en-US" b="1" dirty="0"/>
            <a:t>2024</a:t>
          </a:r>
        </a:p>
      </dgm:t>
    </dgm:pt>
    <dgm:pt modelId="{1658CD73-A100-431E-9375-7575E64D9AC9}" type="parTrans" cxnId="{24884A53-4A5A-4E68-84A6-4E31A6B7790A}">
      <dgm:prSet/>
      <dgm:spPr/>
      <dgm:t>
        <a:bodyPr/>
        <a:lstStyle/>
        <a:p>
          <a:endParaRPr lang="en-AU" b="1"/>
        </a:p>
      </dgm:t>
    </dgm:pt>
    <dgm:pt modelId="{DF95BDC6-D513-4DAA-8754-F249FB2067D7}" type="sibTrans" cxnId="{24884A53-4A5A-4E68-84A6-4E31A6B7790A}">
      <dgm:prSet/>
      <dgm:spPr/>
      <dgm:t>
        <a:bodyPr/>
        <a:lstStyle/>
        <a:p>
          <a:endParaRPr lang="en-AU" b="1"/>
        </a:p>
      </dgm:t>
    </dgm:pt>
    <dgm:pt modelId="{BA80EEA1-DEDC-49F4-8FB7-CE3B4F958DA3}">
      <dgm:prSet/>
      <dgm:spPr/>
      <dgm:t>
        <a:bodyPr/>
        <a:lstStyle/>
        <a:p>
          <a:r>
            <a:rPr lang="en-US" b="1" dirty="0"/>
            <a:t>Total Revenue - $2765.2m</a:t>
          </a:r>
        </a:p>
      </dgm:t>
    </dgm:pt>
    <dgm:pt modelId="{9D944268-3E85-4DE9-A1F7-12B0C3519B5A}" type="parTrans" cxnId="{81FCF467-8B20-44A1-88BB-01D194B54D0D}">
      <dgm:prSet/>
      <dgm:spPr/>
      <dgm:t>
        <a:bodyPr/>
        <a:lstStyle/>
        <a:p>
          <a:endParaRPr lang="en-AU" b="1"/>
        </a:p>
      </dgm:t>
    </dgm:pt>
    <dgm:pt modelId="{6B0E6CCC-493A-412A-9F55-980C3F6A2305}" type="sibTrans" cxnId="{81FCF467-8B20-44A1-88BB-01D194B54D0D}">
      <dgm:prSet/>
      <dgm:spPr/>
      <dgm:t>
        <a:bodyPr/>
        <a:lstStyle/>
        <a:p>
          <a:endParaRPr lang="en-AU" b="1"/>
        </a:p>
      </dgm:t>
    </dgm:pt>
    <dgm:pt modelId="{C10A6EF6-688F-4DE8-AB8A-EB03BACA9D65}">
      <dgm:prSet/>
      <dgm:spPr/>
      <dgm:t>
        <a:bodyPr/>
        <a:lstStyle/>
        <a:p>
          <a:r>
            <a:rPr lang="en-US" b="1" dirty="0"/>
            <a:t>Net Profit - $71.1m</a:t>
          </a:r>
        </a:p>
      </dgm:t>
    </dgm:pt>
    <dgm:pt modelId="{DA0D281B-94F9-4685-8FC4-E875907916A8}" type="parTrans" cxnId="{ECC3ED1A-CF56-42F4-8C9C-0120A5042AF7}">
      <dgm:prSet/>
      <dgm:spPr/>
      <dgm:t>
        <a:bodyPr/>
        <a:lstStyle/>
        <a:p>
          <a:endParaRPr lang="en-AU" b="1"/>
        </a:p>
      </dgm:t>
    </dgm:pt>
    <dgm:pt modelId="{9C2F3A2F-9542-4311-A8CD-586B32FE817D}" type="sibTrans" cxnId="{ECC3ED1A-CF56-42F4-8C9C-0120A5042AF7}">
      <dgm:prSet/>
      <dgm:spPr/>
      <dgm:t>
        <a:bodyPr/>
        <a:lstStyle/>
        <a:p>
          <a:endParaRPr lang="en-AU" b="1"/>
        </a:p>
      </dgm:t>
    </dgm:pt>
    <dgm:pt modelId="{3656C892-9078-43DF-9DB4-B2F30DB3D84B}">
      <dgm:prSet/>
      <dgm:spPr/>
      <dgm:t>
        <a:bodyPr/>
        <a:lstStyle/>
        <a:p>
          <a:r>
            <a:rPr lang="en-US" b="1" dirty="0"/>
            <a:t>Total Revenue - $2502.3m</a:t>
          </a:r>
        </a:p>
      </dgm:t>
    </dgm:pt>
    <dgm:pt modelId="{AC25BF9D-9410-4919-9C70-5A8F5A976DFB}" type="parTrans" cxnId="{D7DD2153-F9FE-4508-9F52-F08F276D941C}">
      <dgm:prSet/>
      <dgm:spPr/>
      <dgm:t>
        <a:bodyPr/>
        <a:lstStyle/>
        <a:p>
          <a:endParaRPr lang="en-AU" b="1"/>
        </a:p>
      </dgm:t>
    </dgm:pt>
    <dgm:pt modelId="{DBE6A69B-7C7B-44F8-B15E-FF3AC03907BA}" type="sibTrans" cxnId="{D7DD2153-F9FE-4508-9F52-F08F276D941C}">
      <dgm:prSet/>
      <dgm:spPr/>
      <dgm:t>
        <a:bodyPr/>
        <a:lstStyle/>
        <a:p>
          <a:endParaRPr lang="en-AU" b="1"/>
        </a:p>
      </dgm:t>
    </dgm:pt>
    <dgm:pt modelId="{E6162F8A-61B3-4C76-8FAA-36220EDE95A0}">
      <dgm:prSet/>
      <dgm:spPr/>
      <dgm:t>
        <a:bodyPr/>
        <a:lstStyle/>
        <a:p>
          <a:r>
            <a:rPr lang="en-US" b="1" dirty="0"/>
            <a:t>Net Profit - $60.2m</a:t>
          </a:r>
        </a:p>
      </dgm:t>
    </dgm:pt>
    <dgm:pt modelId="{81208F86-8D8E-42B5-85E5-D2F15E2F1E99}" type="parTrans" cxnId="{40BD6DA1-3BB0-4870-96A4-4C9E57CB1D24}">
      <dgm:prSet/>
      <dgm:spPr/>
      <dgm:t>
        <a:bodyPr/>
        <a:lstStyle/>
        <a:p>
          <a:endParaRPr lang="en-AU" b="1"/>
        </a:p>
      </dgm:t>
    </dgm:pt>
    <dgm:pt modelId="{2828CCB0-1DB4-4DEE-8A2A-D88E777DACAD}" type="sibTrans" cxnId="{40BD6DA1-3BB0-4870-96A4-4C9E57CB1D24}">
      <dgm:prSet/>
      <dgm:spPr/>
      <dgm:t>
        <a:bodyPr/>
        <a:lstStyle/>
        <a:p>
          <a:endParaRPr lang="en-AU" b="1"/>
        </a:p>
      </dgm:t>
    </dgm:pt>
    <dgm:pt modelId="{B1F2F1DA-9170-45CD-AB23-A799467BDC53}" type="pres">
      <dgm:prSet presAssocID="{C2E3943C-550C-4F6F-BE7B-28D674E0291E}" presName="root" presStyleCnt="0">
        <dgm:presLayoutVars>
          <dgm:chMax/>
          <dgm:chPref/>
          <dgm:animLvl val="lvl"/>
        </dgm:presLayoutVars>
      </dgm:prSet>
      <dgm:spPr/>
    </dgm:pt>
    <dgm:pt modelId="{DA095DE8-F9A3-40E1-8B84-EF793B99507A}" type="pres">
      <dgm:prSet presAssocID="{C2E3943C-550C-4F6F-BE7B-28D674E0291E}" presName="divider" presStyleLbl="fgAcc1" presStyleIdx="0" presStyleCnt="4"/>
      <dgm:spPr>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gm:spPr>
    </dgm:pt>
    <dgm:pt modelId="{A8E8D86B-00C8-4E80-99AD-723BBD8F9EC4}" type="pres">
      <dgm:prSet presAssocID="{C2E3943C-550C-4F6F-BE7B-28D674E0291E}" presName="nodes" presStyleCnt="0">
        <dgm:presLayoutVars>
          <dgm:chMax/>
          <dgm:chPref/>
          <dgm:animLvl val="lvl"/>
        </dgm:presLayoutVars>
      </dgm:prSet>
      <dgm:spPr/>
    </dgm:pt>
    <dgm:pt modelId="{132233D2-38AA-4788-B604-CEC944885CE2}" type="pres">
      <dgm:prSet presAssocID="{61B41B6E-E706-4851-BAAA-0D2E6A6DA323}" presName="composite" presStyleCnt="0"/>
      <dgm:spPr/>
    </dgm:pt>
    <dgm:pt modelId="{892071EC-EAF3-40D0-8A85-AD3904426183}" type="pres">
      <dgm:prSet presAssocID="{61B41B6E-E706-4851-BAAA-0D2E6A6DA323}" presName="ConnectorPoint" presStyleLbl="lnNode1" presStyleIdx="0" presStyleCnt="3"/>
      <dgm:spPr>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gm:spPr>
    </dgm:pt>
    <dgm:pt modelId="{DB8BE09E-EC51-4EE2-BE60-52324109552B}" type="pres">
      <dgm:prSet presAssocID="{61B41B6E-E706-4851-BAAA-0D2E6A6DA323}" presName="DropPinPlaceHolder" presStyleCnt="0"/>
      <dgm:spPr/>
    </dgm:pt>
    <dgm:pt modelId="{3403B9FF-17CF-4B68-BB83-C82F37730563}" type="pres">
      <dgm:prSet presAssocID="{61B41B6E-E706-4851-BAAA-0D2E6A6DA323}" presName="DropPin" presStyleLbl="alignNode1" presStyleIdx="0" presStyleCnt="3"/>
      <dgm:spPr/>
    </dgm:pt>
    <dgm:pt modelId="{7A50ECD3-605C-442F-97FC-D68600032CFA}" type="pres">
      <dgm:prSet presAssocID="{61B41B6E-E706-4851-BAAA-0D2E6A6DA323}" presName="Ellipse" presStyleLbl="fgAcc1" presStyleIdx="1" presStyleCnt="4"/>
      <dgm:spPr>
        <a:solidFill>
          <a:schemeClr val="lt1">
            <a:alpha val="90000"/>
            <a:hueOff val="0"/>
            <a:satOff val="0"/>
            <a:lumOff val="0"/>
            <a:alphaOff val="0"/>
          </a:schemeClr>
        </a:solidFill>
        <a:ln w="19050" cap="flat" cmpd="sng" algn="ctr">
          <a:noFill/>
          <a:prstDash val="solid"/>
          <a:miter lim="800000"/>
        </a:ln>
        <a:effectLst/>
      </dgm:spPr>
    </dgm:pt>
    <dgm:pt modelId="{24C10D8C-314A-4E60-B6B0-1E5086AF8241}" type="pres">
      <dgm:prSet presAssocID="{61B41B6E-E706-4851-BAAA-0D2E6A6DA323}" presName="L2TextContainer" presStyleLbl="revTx" presStyleIdx="0" presStyleCnt="6">
        <dgm:presLayoutVars>
          <dgm:bulletEnabled val="1"/>
        </dgm:presLayoutVars>
      </dgm:prSet>
      <dgm:spPr/>
    </dgm:pt>
    <dgm:pt modelId="{06B2E776-DA5C-4D7F-97F2-56D4770AD4DC}" type="pres">
      <dgm:prSet presAssocID="{61B41B6E-E706-4851-BAAA-0D2E6A6DA323}" presName="L1TextContainer" presStyleLbl="revTx" presStyleIdx="1" presStyleCnt="6">
        <dgm:presLayoutVars>
          <dgm:chMax val="1"/>
          <dgm:chPref val="1"/>
          <dgm:bulletEnabled val="1"/>
        </dgm:presLayoutVars>
      </dgm:prSet>
      <dgm:spPr/>
    </dgm:pt>
    <dgm:pt modelId="{C29F99BD-AEAE-4407-B8E4-CD18C282CA15}" type="pres">
      <dgm:prSet presAssocID="{61B41B6E-E706-4851-BAAA-0D2E6A6DA323}" presName="ConnectLine" presStyleLbl="sibTrans1D1" presStyleIdx="0" presStyleCnt="3"/>
      <dgm:spPr>
        <a:noFill/>
        <a:ln w="12700" cap="flat" cmpd="sng" algn="ctr">
          <a:solidFill>
            <a:schemeClr val="accent2">
              <a:hueOff val="0"/>
              <a:satOff val="0"/>
              <a:lumOff val="0"/>
              <a:alphaOff val="0"/>
            </a:schemeClr>
          </a:solidFill>
          <a:prstDash val="dash"/>
          <a:miter lim="800000"/>
        </a:ln>
        <a:effectLst/>
      </dgm:spPr>
    </dgm:pt>
    <dgm:pt modelId="{CABB78D6-1536-4847-9BBB-B7C45A1B001C}" type="pres">
      <dgm:prSet presAssocID="{61B41B6E-E706-4851-BAAA-0D2E6A6DA323}" presName="EmptyPlaceHolder" presStyleCnt="0"/>
      <dgm:spPr/>
    </dgm:pt>
    <dgm:pt modelId="{78B0128E-92A5-4C61-85EE-900DC204BEF7}" type="pres">
      <dgm:prSet presAssocID="{211A6A6F-A225-4A27-89FF-F6DCDB3681C0}" presName="spaceBetweenRectangles" presStyleCnt="0"/>
      <dgm:spPr/>
    </dgm:pt>
    <dgm:pt modelId="{266BBE4F-33B1-419F-A7C1-A7D6A3740AAB}" type="pres">
      <dgm:prSet presAssocID="{89C38AAE-77E0-4D04-92A3-A9FE9E113714}" presName="composite" presStyleCnt="0"/>
      <dgm:spPr/>
    </dgm:pt>
    <dgm:pt modelId="{E91B32C5-7A88-4B22-8A1A-A24F567D35EF}" type="pres">
      <dgm:prSet presAssocID="{89C38AAE-77E0-4D04-92A3-A9FE9E113714}" presName="ConnectorPoint" presStyleLbl="lnNode1" presStyleIdx="1" presStyleCnt="3"/>
      <dgm:spPr>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gm:spPr>
    </dgm:pt>
    <dgm:pt modelId="{1A167933-7F8E-4D5B-A3D5-04124AEE59EB}" type="pres">
      <dgm:prSet presAssocID="{89C38AAE-77E0-4D04-92A3-A9FE9E113714}" presName="DropPinPlaceHolder" presStyleCnt="0"/>
      <dgm:spPr/>
    </dgm:pt>
    <dgm:pt modelId="{642C3C2D-2135-49EE-85E6-9D232B1856EE}" type="pres">
      <dgm:prSet presAssocID="{89C38AAE-77E0-4D04-92A3-A9FE9E113714}" presName="DropPin" presStyleLbl="alignNode1" presStyleIdx="1" presStyleCnt="3"/>
      <dgm:spPr/>
    </dgm:pt>
    <dgm:pt modelId="{C64A5E0B-7A0B-45A4-B467-F1B83E2F6A56}" type="pres">
      <dgm:prSet presAssocID="{89C38AAE-77E0-4D04-92A3-A9FE9E113714}" presName="Ellipse" presStyleLbl="fgAcc1" presStyleIdx="2" presStyleCnt="4"/>
      <dgm:spPr>
        <a:solidFill>
          <a:schemeClr val="lt1">
            <a:alpha val="90000"/>
            <a:hueOff val="0"/>
            <a:satOff val="0"/>
            <a:lumOff val="0"/>
            <a:alphaOff val="0"/>
          </a:schemeClr>
        </a:solidFill>
        <a:ln w="19050" cap="flat" cmpd="sng" algn="ctr">
          <a:noFill/>
          <a:prstDash val="solid"/>
          <a:miter lim="800000"/>
        </a:ln>
        <a:effectLst/>
      </dgm:spPr>
    </dgm:pt>
    <dgm:pt modelId="{BCED990D-EE8B-465E-A3A9-A38637BB38BE}" type="pres">
      <dgm:prSet presAssocID="{89C38AAE-77E0-4D04-92A3-A9FE9E113714}" presName="L2TextContainer" presStyleLbl="revTx" presStyleIdx="2" presStyleCnt="6">
        <dgm:presLayoutVars>
          <dgm:bulletEnabled val="1"/>
        </dgm:presLayoutVars>
      </dgm:prSet>
      <dgm:spPr/>
    </dgm:pt>
    <dgm:pt modelId="{D48ECBF0-BF5E-4F4C-BEBB-7B1DFB0E158F}" type="pres">
      <dgm:prSet presAssocID="{89C38AAE-77E0-4D04-92A3-A9FE9E113714}" presName="L1TextContainer" presStyleLbl="revTx" presStyleIdx="3" presStyleCnt="6">
        <dgm:presLayoutVars>
          <dgm:chMax val="1"/>
          <dgm:chPref val="1"/>
          <dgm:bulletEnabled val="1"/>
        </dgm:presLayoutVars>
      </dgm:prSet>
      <dgm:spPr/>
    </dgm:pt>
    <dgm:pt modelId="{8BC7690D-7CB6-4DE4-B337-6107980C25B0}" type="pres">
      <dgm:prSet presAssocID="{89C38AAE-77E0-4D04-92A3-A9FE9E113714}" presName="ConnectLine" presStyleLbl="sibTrans1D1" presStyleIdx="1" presStyleCnt="3"/>
      <dgm:spPr>
        <a:noFill/>
        <a:ln w="12700" cap="flat" cmpd="sng" algn="ctr">
          <a:solidFill>
            <a:schemeClr val="accent2">
              <a:hueOff val="-5184504"/>
              <a:satOff val="-10204"/>
              <a:lumOff val="6372"/>
              <a:alphaOff val="0"/>
            </a:schemeClr>
          </a:solidFill>
          <a:prstDash val="dash"/>
          <a:miter lim="800000"/>
        </a:ln>
        <a:effectLst/>
      </dgm:spPr>
    </dgm:pt>
    <dgm:pt modelId="{8403AB90-CCE1-4B38-88C7-53FC66150EAF}" type="pres">
      <dgm:prSet presAssocID="{89C38AAE-77E0-4D04-92A3-A9FE9E113714}" presName="EmptyPlaceHolder" presStyleCnt="0"/>
      <dgm:spPr/>
    </dgm:pt>
    <dgm:pt modelId="{BCFCEF64-D83F-4FE3-8A8B-763B4631CF3A}" type="pres">
      <dgm:prSet presAssocID="{69C1BE28-DD12-4AFA-974B-DE262BF2F964}" presName="spaceBetweenRectangles" presStyleCnt="0"/>
      <dgm:spPr/>
    </dgm:pt>
    <dgm:pt modelId="{3869A8C8-F404-44C9-BE01-7A08600B68DE}" type="pres">
      <dgm:prSet presAssocID="{19BD3E34-6D03-4D5A-8613-86D6A6283691}" presName="composite" presStyleCnt="0"/>
      <dgm:spPr/>
    </dgm:pt>
    <dgm:pt modelId="{2C421BBC-6C0C-4982-BAAE-A8B45E04650A}" type="pres">
      <dgm:prSet presAssocID="{19BD3E34-6D03-4D5A-8613-86D6A6283691}" presName="ConnectorPoint" presStyleLbl="lnNode1" presStyleIdx="2" presStyleCnt="3"/>
      <dgm:spPr>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gm:spPr>
    </dgm:pt>
    <dgm:pt modelId="{662F9D2F-169E-4E3E-9242-5AB652C16104}" type="pres">
      <dgm:prSet presAssocID="{19BD3E34-6D03-4D5A-8613-86D6A6283691}" presName="DropPinPlaceHolder" presStyleCnt="0"/>
      <dgm:spPr/>
    </dgm:pt>
    <dgm:pt modelId="{4402B34F-5283-417E-91E4-E66CEE0F872B}" type="pres">
      <dgm:prSet presAssocID="{19BD3E34-6D03-4D5A-8613-86D6A6283691}" presName="DropPin" presStyleLbl="alignNode1" presStyleIdx="2" presStyleCnt="3"/>
      <dgm:spPr/>
    </dgm:pt>
    <dgm:pt modelId="{9064D01D-BEF3-4F2C-B0FE-483EB1435925}" type="pres">
      <dgm:prSet presAssocID="{19BD3E34-6D03-4D5A-8613-86D6A6283691}" presName="Ellipse" presStyleLbl="fgAcc1" presStyleIdx="3" presStyleCnt="4"/>
      <dgm:spPr>
        <a:solidFill>
          <a:schemeClr val="lt1">
            <a:alpha val="90000"/>
            <a:hueOff val="0"/>
            <a:satOff val="0"/>
            <a:lumOff val="0"/>
            <a:alphaOff val="0"/>
          </a:schemeClr>
        </a:solidFill>
        <a:ln w="19050" cap="flat" cmpd="sng" algn="ctr">
          <a:noFill/>
          <a:prstDash val="solid"/>
          <a:miter lim="800000"/>
        </a:ln>
        <a:effectLst/>
      </dgm:spPr>
    </dgm:pt>
    <dgm:pt modelId="{80EBD3E0-9274-4943-B4F3-4BAD315FF1C8}" type="pres">
      <dgm:prSet presAssocID="{19BD3E34-6D03-4D5A-8613-86D6A6283691}" presName="L2TextContainer" presStyleLbl="revTx" presStyleIdx="4" presStyleCnt="6">
        <dgm:presLayoutVars>
          <dgm:bulletEnabled val="1"/>
        </dgm:presLayoutVars>
      </dgm:prSet>
      <dgm:spPr/>
    </dgm:pt>
    <dgm:pt modelId="{C553DA49-5B91-4DDB-A52C-9086FB221A05}" type="pres">
      <dgm:prSet presAssocID="{19BD3E34-6D03-4D5A-8613-86D6A6283691}" presName="L1TextContainer" presStyleLbl="revTx" presStyleIdx="5" presStyleCnt="6">
        <dgm:presLayoutVars>
          <dgm:chMax val="1"/>
          <dgm:chPref val="1"/>
          <dgm:bulletEnabled val="1"/>
        </dgm:presLayoutVars>
      </dgm:prSet>
      <dgm:spPr/>
    </dgm:pt>
    <dgm:pt modelId="{FACCC1AA-CD2F-4D01-A501-4B5252FB01C8}" type="pres">
      <dgm:prSet presAssocID="{19BD3E34-6D03-4D5A-8613-86D6A6283691}" presName="ConnectLine" presStyleLbl="sibTrans1D1" presStyleIdx="2" presStyleCnt="3"/>
      <dgm:spPr>
        <a:noFill/>
        <a:ln w="12700" cap="flat" cmpd="sng" algn="ctr">
          <a:solidFill>
            <a:schemeClr val="accent2">
              <a:hueOff val="-10369007"/>
              <a:satOff val="-20408"/>
              <a:lumOff val="12745"/>
              <a:alphaOff val="0"/>
            </a:schemeClr>
          </a:solidFill>
          <a:prstDash val="dash"/>
          <a:miter lim="800000"/>
        </a:ln>
        <a:effectLst/>
      </dgm:spPr>
    </dgm:pt>
    <dgm:pt modelId="{81035508-C14E-476D-9451-236ECF0EA4EA}" type="pres">
      <dgm:prSet presAssocID="{19BD3E34-6D03-4D5A-8613-86D6A6283691}" presName="EmptyPlaceHolder" presStyleCnt="0"/>
      <dgm:spPr/>
    </dgm:pt>
  </dgm:ptLst>
  <dgm:cxnLst>
    <dgm:cxn modelId="{9713AD0D-1956-4C82-9E4B-713A9AF9314A}" srcId="{61B41B6E-E706-4851-BAAA-0D2E6A6DA323}" destId="{6D7123F4-12FF-459A-9815-2B2A47E04184}" srcOrd="1" destOrd="0" parTransId="{2FDBF90F-B9B5-457A-BB42-C53449D23450}" sibTransId="{C46E191C-5CDD-4536-82CC-D65016C45354}"/>
    <dgm:cxn modelId="{20B0AF11-49C5-4F4F-A65D-71C5D66C8431}" srcId="{C2E3943C-550C-4F6F-BE7B-28D674E0291E}" destId="{61B41B6E-E706-4851-BAAA-0D2E6A6DA323}" srcOrd="0" destOrd="0" parTransId="{3654D46F-4E7B-4D26-A3B4-493364D24DD3}" sibTransId="{211A6A6F-A225-4A27-89FF-F6DCDB3681C0}"/>
    <dgm:cxn modelId="{2BD3E615-56C4-4668-AE79-B27BBD0E3697}" type="presOf" srcId="{C2E3943C-550C-4F6F-BE7B-28D674E0291E}" destId="{B1F2F1DA-9170-45CD-AB23-A799467BDC53}" srcOrd="0" destOrd="0" presId="urn:microsoft.com/office/officeart/2017/3/layout/DropPinTimeline"/>
    <dgm:cxn modelId="{ECC3ED1A-CF56-42F4-8C9C-0120A5042AF7}" srcId="{89C38AAE-77E0-4D04-92A3-A9FE9E113714}" destId="{C10A6EF6-688F-4DE8-AB8A-EB03BACA9D65}" srcOrd="1" destOrd="0" parTransId="{DA0D281B-94F9-4685-8FC4-E875907916A8}" sibTransId="{9C2F3A2F-9542-4311-A8CD-586B32FE817D}"/>
    <dgm:cxn modelId="{C597B228-80A9-48AA-8D90-02034749F512}" type="presOf" srcId="{E6162F8A-61B3-4C76-8FAA-36220EDE95A0}" destId="{80EBD3E0-9274-4943-B4F3-4BAD315FF1C8}" srcOrd="0" destOrd="1" presId="urn:microsoft.com/office/officeart/2017/3/layout/DropPinTimeline"/>
    <dgm:cxn modelId="{3D23D42F-D9B1-4003-99CC-7B76D2C2E4C8}" type="presOf" srcId="{61B41B6E-E706-4851-BAAA-0D2E6A6DA323}" destId="{06B2E776-DA5C-4D7F-97F2-56D4770AD4DC}" srcOrd="0" destOrd="0" presId="urn:microsoft.com/office/officeart/2017/3/layout/DropPinTimeline"/>
    <dgm:cxn modelId="{81FCF467-8B20-44A1-88BB-01D194B54D0D}" srcId="{89C38AAE-77E0-4D04-92A3-A9FE9E113714}" destId="{BA80EEA1-DEDC-49F4-8FB7-CE3B4F958DA3}" srcOrd="0" destOrd="0" parTransId="{9D944268-3E85-4DE9-A1F7-12B0C3519B5A}" sibTransId="{6B0E6CCC-493A-412A-9F55-980C3F6A2305}"/>
    <dgm:cxn modelId="{DD0E3A69-7140-4324-B84A-C9C44769853F}" type="presOf" srcId="{BA80EEA1-DEDC-49F4-8FB7-CE3B4F958DA3}" destId="{BCED990D-EE8B-465E-A3A9-A38637BB38BE}" srcOrd="0" destOrd="0" presId="urn:microsoft.com/office/officeart/2017/3/layout/DropPinTimeline"/>
    <dgm:cxn modelId="{D7DD2153-F9FE-4508-9F52-F08F276D941C}" srcId="{19BD3E34-6D03-4D5A-8613-86D6A6283691}" destId="{3656C892-9078-43DF-9DB4-B2F30DB3D84B}" srcOrd="0" destOrd="0" parTransId="{AC25BF9D-9410-4919-9C70-5A8F5A976DFB}" sibTransId="{DBE6A69B-7C7B-44F8-B15E-FF3AC03907BA}"/>
    <dgm:cxn modelId="{24884A53-4A5A-4E68-84A6-4E31A6B7790A}" srcId="{C2E3943C-550C-4F6F-BE7B-28D674E0291E}" destId="{19BD3E34-6D03-4D5A-8613-86D6A6283691}" srcOrd="2" destOrd="0" parTransId="{1658CD73-A100-431E-9375-7575E64D9AC9}" sibTransId="{DF95BDC6-D513-4DAA-8754-F249FB2067D7}"/>
    <dgm:cxn modelId="{CED03497-CF10-4288-9930-7F622BB57967}" type="presOf" srcId="{EB5D5E34-6856-41E1-98D1-92C25DC63239}" destId="{24C10D8C-314A-4E60-B6B0-1E5086AF8241}" srcOrd="0" destOrd="0" presId="urn:microsoft.com/office/officeart/2017/3/layout/DropPinTimeline"/>
    <dgm:cxn modelId="{40BD6DA1-3BB0-4870-96A4-4C9E57CB1D24}" srcId="{19BD3E34-6D03-4D5A-8613-86D6A6283691}" destId="{E6162F8A-61B3-4C76-8FAA-36220EDE95A0}" srcOrd="1" destOrd="0" parTransId="{81208F86-8D8E-42B5-85E5-D2F15E2F1E99}" sibTransId="{2828CCB0-1DB4-4DEE-8A2A-D88E777DACAD}"/>
    <dgm:cxn modelId="{B71B82A5-E2E4-4469-9175-BBF3992ABBDB}" srcId="{C2E3943C-550C-4F6F-BE7B-28D674E0291E}" destId="{89C38AAE-77E0-4D04-92A3-A9FE9E113714}" srcOrd="1" destOrd="0" parTransId="{BB778D5F-1D8B-425D-976D-F5500AD5975A}" sibTransId="{69C1BE28-DD12-4AFA-974B-DE262BF2F964}"/>
    <dgm:cxn modelId="{535C61A6-2A88-421C-B57B-3233DCCA7BE8}" srcId="{61B41B6E-E706-4851-BAAA-0D2E6A6DA323}" destId="{EB5D5E34-6856-41E1-98D1-92C25DC63239}" srcOrd="0" destOrd="0" parTransId="{EF41CEDC-7947-4E35-AB64-B5B15372E1B3}" sibTransId="{F3433698-3AD9-4BC9-8B02-4347F33AE2B1}"/>
    <dgm:cxn modelId="{A51867AB-BD54-4D47-BFF7-FEFC189F447B}" type="presOf" srcId="{3656C892-9078-43DF-9DB4-B2F30DB3D84B}" destId="{80EBD3E0-9274-4943-B4F3-4BAD315FF1C8}" srcOrd="0" destOrd="0" presId="urn:microsoft.com/office/officeart/2017/3/layout/DropPinTimeline"/>
    <dgm:cxn modelId="{70EF8DD4-5D40-43C5-80F5-27088FD1A7D9}" type="presOf" srcId="{6D7123F4-12FF-459A-9815-2B2A47E04184}" destId="{24C10D8C-314A-4E60-B6B0-1E5086AF8241}" srcOrd="0" destOrd="1" presId="urn:microsoft.com/office/officeart/2017/3/layout/DropPinTimeline"/>
    <dgm:cxn modelId="{874E81DC-5804-49D6-907C-7FC5D02D1A56}" type="presOf" srcId="{C10A6EF6-688F-4DE8-AB8A-EB03BACA9D65}" destId="{BCED990D-EE8B-465E-A3A9-A38637BB38BE}" srcOrd="0" destOrd="1" presId="urn:microsoft.com/office/officeart/2017/3/layout/DropPinTimeline"/>
    <dgm:cxn modelId="{3166F4DF-E49D-478B-9CEE-2777B22CC02D}" type="presOf" srcId="{89C38AAE-77E0-4D04-92A3-A9FE9E113714}" destId="{D48ECBF0-BF5E-4F4C-BEBB-7B1DFB0E158F}" srcOrd="0" destOrd="0" presId="urn:microsoft.com/office/officeart/2017/3/layout/DropPinTimeline"/>
    <dgm:cxn modelId="{96A513F7-F56E-41A1-BF60-0602A524634C}" type="presOf" srcId="{19BD3E34-6D03-4D5A-8613-86D6A6283691}" destId="{C553DA49-5B91-4DDB-A52C-9086FB221A05}" srcOrd="0" destOrd="0" presId="urn:microsoft.com/office/officeart/2017/3/layout/DropPinTimeline"/>
    <dgm:cxn modelId="{1F84B380-6DC8-4E18-8289-8B9C71E1D7CD}" type="presParOf" srcId="{B1F2F1DA-9170-45CD-AB23-A799467BDC53}" destId="{DA095DE8-F9A3-40E1-8B84-EF793B99507A}" srcOrd="0" destOrd="0" presId="urn:microsoft.com/office/officeart/2017/3/layout/DropPinTimeline"/>
    <dgm:cxn modelId="{DD0F896B-2912-4B34-8F20-74D3DF664FB8}" type="presParOf" srcId="{B1F2F1DA-9170-45CD-AB23-A799467BDC53}" destId="{A8E8D86B-00C8-4E80-99AD-723BBD8F9EC4}" srcOrd="1" destOrd="0" presId="urn:microsoft.com/office/officeart/2017/3/layout/DropPinTimeline"/>
    <dgm:cxn modelId="{58F88198-BACA-4672-B18C-7ECE1DE36817}" type="presParOf" srcId="{A8E8D86B-00C8-4E80-99AD-723BBD8F9EC4}" destId="{132233D2-38AA-4788-B604-CEC944885CE2}" srcOrd="0" destOrd="0" presId="urn:microsoft.com/office/officeart/2017/3/layout/DropPinTimeline"/>
    <dgm:cxn modelId="{2563C651-C926-4009-AA7C-6B2E8C3B9BC2}" type="presParOf" srcId="{132233D2-38AA-4788-B604-CEC944885CE2}" destId="{892071EC-EAF3-40D0-8A85-AD3904426183}" srcOrd="0" destOrd="0" presId="urn:microsoft.com/office/officeart/2017/3/layout/DropPinTimeline"/>
    <dgm:cxn modelId="{037ED45D-4A12-47E3-948E-CD1ECFA64431}" type="presParOf" srcId="{132233D2-38AA-4788-B604-CEC944885CE2}" destId="{DB8BE09E-EC51-4EE2-BE60-52324109552B}" srcOrd="1" destOrd="0" presId="urn:microsoft.com/office/officeart/2017/3/layout/DropPinTimeline"/>
    <dgm:cxn modelId="{2A1557A5-2FF0-41BB-8EB4-07B983DE454D}" type="presParOf" srcId="{DB8BE09E-EC51-4EE2-BE60-52324109552B}" destId="{3403B9FF-17CF-4B68-BB83-C82F37730563}" srcOrd="0" destOrd="0" presId="urn:microsoft.com/office/officeart/2017/3/layout/DropPinTimeline"/>
    <dgm:cxn modelId="{9C96E122-58FD-4A06-949F-B89E137BE49C}" type="presParOf" srcId="{DB8BE09E-EC51-4EE2-BE60-52324109552B}" destId="{7A50ECD3-605C-442F-97FC-D68600032CFA}" srcOrd="1" destOrd="0" presId="urn:microsoft.com/office/officeart/2017/3/layout/DropPinTimeline"/>
    <dgm:cxn modelId="{DEF543C9-B562-4B25-9865-4E6EC60BD440}" type="presParOf" srcId="{132233D2-38AA-4788-B604-CEC944885CE2}" destId="{24C10D8C-314A-4E60-B6B0-1E5086AF8241}" srcOrd="2" destOrd="0" presId="urn:microsoft.com/office/officeart/2017/3/layout/DropPinTimeline"/>
    <dgm:cxn modelId="{DB487E03-C337-4B62-ABB8-67DDCAD837FF}" type="presParOf" srcId="{132233D2-38AA-4788-B604-CEC944885CE2}" destId="{06B2E776-DA5C-4D7F-97F2-56D4770AD4DC}" srcOrd="3" destOrd="0" presId="urn:microsoft.com/office/officeart/2017/3/layout/DropPinTimeline"/>
    <dgm:cxn modelId="{7E03B188-CB63-4878-A8C8-797BD81AB026}" type="presParOf" srcId="{132233D2-38AA-4788-B604-CEC944885CE2}" destId="{C29F99BD-AEAE-4407-B8E4-CD18C282CA15}" srcOrd="4" destOrd="0" presId="urn:microsoft.com/office/officeart/2017/3/layout/DropPinTimeline"/>
    <dgm:cxn modelId="{BEA0665A-CEE5-4561-9BCB-784DBA395068}" type="presParOf" srcId="{132233D2-38AA-4788-B604-CEC944885CE2}" destId="{CABB78D6-1536-4847-9BBB-B7C45A1B001C}" srcOrd="5" destOrd="0" presId="urn:microsoft.com/office/officeart/2017/3/layout/DropPinTimeline"/>
    <dgm:cxn modelId="{F9C5370E-61EF-4B8D-8FE8-1D940DC25094}" type="presParOf" srcId="{A8E8D86B-00C8-4E80-99AD-723BBD8F9EC4}" destId="{78B0128E-92A5-4C61-85EE-900DC204BEF7}" srcOrd="1" destOrd="0" presId="urn:microsoft.com/office/officeart/2017/3/layout/DropPinTimeline"/>
    <dgm:cxn modelId="{FF8F05EE-2E7F-4ECE-BB58-EEF42B291751}" type="presParOf" srcId="{A8E8D86B-00C8-4E80-99AD-723BBD8F9EC4}" destId="{266BBE4F-33B1-419F-A7C1-A7D6A3740AAB}" srcOrd="2" destOrd="0" presId="urn:microsoft.com/office/officeart/2017/3/layout/DropPinTimeline"/>
    <dgm:cxn modelId="{69952D21-08B8-4090-B36C-E8749225F016}" type="presParOf" srcId="{266BBE4F-33B1-419F-A7C1-A7D6A3740AAB}" destId="{E91B32C5-7A88-4B22-8A1A-A24F567D35EF}" srcOrd="0" destOrd="0" presId="urn:microsoft.com/office/officeart/2017/3/layout/DropPinTimeline"/>
    <dgm:cxn modelId="{541EA9F4-4F80-492C-B0DC-BE77255EB47F}" type="presParOf" srcId="{266BBE4F-33B1-419F-A7C1-A7D6A3740AAB}" destId="{1A167933-7F8E-4D5B-A3D5-04124AEE59EB}" srcOrd="1" destOrd="0" presId="urn:microsoft.com/office/officeart/2017/3/layout/DropPinTimeline"/>
    <dgm:cxn modelId="{6ED91417-AA0A-4839-8803-F44AF7E7FD90}" type="presParOf" srcId="{1A167933-7F8E-4D5B-A3D5-04124AEE59EB}" destId="{642C3C2D-2135-49EE-85E6-9D232B1856EE}" srcOrd="0" destOrd="0" presId="urn:microsoft.com/office/officeart/2017/3/layout/DropPinTimeline"/>
    <dgm:cxn modelId="{AFCAC7B6-C71F-44A8-80FB-8F73966E0683}" type="presParOf" srcId="{1A167933-7F8E-4D5B-A3D5-04124AEE59EB}" destId="{C64A5E0B-7A0B-45A4-B467-F1B83E2F6A56}" srcOrd="1" destOrd="0" presId="urn:microsoft.com/office/officeart/2017/3/layout/DropPinTimeline"/>
    <dgm:cxn modelId="{D07DCB31-BB5F-43FD-99F0-C8E4A8F60DD5}" type="presParOf" srcId="{266BBE4F-33B1-419F-A7C1-A7D6A3740AAB}" destId="{BCED990D-EE8B-465E-A3A9-A38637BB38BE}" srcOrd="2" destOrd="0" presId="urn:microsoft.com/office/officeart/2017/3/layout/DropPinTimeline"/>
    <dgm:cxn modelId="{7857E1C3-7582-4013-A7EF-F1A99FA38AEE}" type="presParOf" srcId="{266BBE4F-33B1-419F-A7C1-A7D6A3740AAB}" destId="{D48ECBF0-BF5E-4F4C-BEBB-7B1DFB0E158F}" srcOrd="3" destOrd="0" presId="urn:microsoft.com/office/officeart/2017/3/layout/DropPinTimeline"/>
    <dgm:cxn modelId="{E128524A-403F-48ED-85CB-36D049B5F482}" type="presParOf" srcId="{266BBE4F-33B1-419F-A7C1-A7D6A3740AAB}" destId="{8BC7690D-7CB6-4DE4-B337-6107980C25B0}" srcOrd="4" destOrd="0" presId="urn:microsoft.com/office/officeart/2017/3/layout/DropPinTimeline"/>
    <dgm:cxn modelId="{608B7AA8-2142-4FD2-BEC2-B72380DD835D}" type="presParOf" srcId="{266BBE4F-33B1-419F-A7C1-A7D6A3740AAB}" destId="{8403AB90-CCE1-4B38-88C7-53FC66150EAF}" srcOrd="5" destOrd="0" presId="urn:microsoft.com/office/officeart/2017/3/layout/DropPinTimeline"/>
    <dgm:cxn modelId="{21E6F4B8-137A-4B20-917B-67079FF048B3}" type="presParOf" srcId="{A8E8D86B-00C8-4E80-99AD-723BBD8F9EC4}" destId="{BCFCEF64-D83F-4FE3-8A8B-763B4631CF3A}" srcOrd="3" destOrd="0" presId="urn:microsoft.com/office/officeart/2017/3/layout/DropPinTimeline"/>
    <dgm:cxn modelId="{B2D904C9-CC83-4890-9344-660E921AA42B}" type="presParOf" srcId="{A8E8D86B-00C8-4E80-99AD-723BBD8F9EC4}" destId="{3869A8C8-F404-44C9-BE01-7A08600B68DE}" srcOrd="4" destOrd="0" presId="urn:microsoft.com/office/officeart/2017/3/layout/DropPinTimeline"/>
    <dgm:cxn modelId="{F9ECC785-95AC-43C9-A98A-872B7BDCB916}" type="presParOf" srcId="{3869A8C8-F404-44C9-BE01-7A08600B68DE}" destId="{2C421BBC-6C0C-4982-BAAE-A8B45E04650A}" srcOrd="0" destOrd="0" presId="urn:microsoft.com/office/officeart/2017/3/layout/DropPinTimeline"/>
    <dgm:cxn modelId="{F11FB92C-26E5-4677-A897-4BDA87B0082E}" type="presParOf" srcId="{3869A8C8-F404-44C9-BE01-7A08600B68DE}" destId="{662F9D2F-169E-4E3E-9242-5AB652C16104}" srcOrd="1" destOrd="0" presId="urn:microsoft.com/office/officeart/2017/3/layout/DropPinTimeline"/>
    <dgm:cxn modelId="{1BD247B6-2EFD-499B-B536-FE4E5F9057FB}" type="presParOf" srcId="{662F9D2F-169E-4E3E-9242-5AB652C16104}" destId="{4402B34F-5283-417E-91E4-E66CEE0F872B}" srcOrd="0" destOrd="0" presId="urn:microsoft.com/office/officeart/2017/3/layout/DropPinTimeline"/>
    <dgm:cxn modelId="{C39DFC72-EFF3-4355-8325-F95EF47A3CC9}" type="presParOf" srcId="{662F9D2F-169E-4E3E-9242-5AB652C16104}" destId="{9064D01D-BEF3-4F2C-B0FE-483EB1435925}" srcOrd="1" destOrd="0" presId="urn:microsoft.com/office/officeart/2017/3/layout/DropPinTimeline"/>
    <dgm:cxn modelId="{C6DAE68B-A533-4199-868F-8483255EBB99}" type="presParOf" srcId="{3869A8C8-F404-44C9-BE01-7A08600B68DE}" destId="{80EBD3E0-9274-4943-B4F3-4BAD315FF1C8}" srcOrd="2" destOrd="0" presId="urn:microsoft.com/office/officeart/2017/3/layout/DropPinTimeline"/>
    <dgm:cxn modelId="{CF3A4C41-3841-4214-9B27-160484925BF0}" type="presParOf" srcId="{3869A8C8-F404-44C9-BE01-7A08600B68DE}" destId="{C553DA49-5B91-4DDB-A52C-9086FB221A05}" srcOrd="3" destOrd="0" presId="urn:microsoft.com/office/officeart/2017/3/layout/DropPinTimeline"/>
    <dgm:cxn modelId="{9FC7266D-F5DC-4614-AD94-1934F24D1BEC}" type="presParOf" srcId="{3869A8C8-F404-44C9-BE01-7A08600B68DE}" destId="{FACCC1AA-CD2F-4D01-A501-4B5252FB01C8}" srcOrd="4" destOrd="0" presId="urn:microsoft.com/office/officeart/2017/3/layout/DropPinTimeline"/>
    <dgm:cxn modelId="{44B0A539-8757-47C3-9D90-4938DF8419B0}" type="presParOf" srcId="{3869A8C8-F404-44C9-BE01-7A08600B68DE}" destId="{81035508-C14E-476D-9451-236ECF0EA4EA}" srcOrd="5" destOrd="0" presId="urn:microsoft.com/office/officeart/2017/3/layout/DropPinTimeline"/>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2E3943C-550C-4F6F-BE7B-28D674E0291E}" type="doc">
      <dgm:prSet loTypeId="urn:microsoft.com/office/officeart/2017/3/layout/DropPinTimeline" loCatId="process" qsTypeId="urn:microsoft.com/office/officeart/2005/8/quickstyle/simple1" qsCatId="simple" csTypeId="urn:microsoft.com/office/officeart/2005/8/colors/colorful2" csCatId="colorful" phldr="1"/>
      <dgm:spPr/>
      <dgm:t>
        <a:bodyPr/>
        <a:lstStyle/>
        <a:p>
          <a:endParaRPr lang="en-US"/>
        </a:p>
      </dgm:t>
    </dgm:pt>
    <dgm:pt modelId="{61B41B6E-E706-4851-BAAA-0D2E6A6DA323}">
      <dgm:prSet/>
      <dgm:spPr/>
      <dgm:t>
        <a:bodyPr/>
        <a:lstStyle/>
        <a:p>
          <a:pPr>
            <a:defRPr b="1"/>
          </a:pPr>
          <a:r>
            <a:rPr lang="en-US" b="1"/>
            <a:t>2022</a:t>
          </a:r>
        </a:p>
      </dgm:t>
    </dgm:pt>
    <dgm:pt modelId="{3654D46F-4E7B-4D26-A3B4-493364D24DD3}" type="parTrans" cxnId="{20B0AF11-49C5-4F4F-A65D-71C5D66C8431}">
      <dgm:prSet/>
      <dgm:spPr/>
      <dgm:t>
        <a:bodyPr/>
        <a:lstStyle/>
        <a:p>
          <a:endParaRPr lang="en-US" b="1"/>
        </a:p>
      </dgm:t>
    </dgm:pt>
    <dgm:pt modelId="{211A6A6F-A225-4A27-89FF-F6DCDB3681C0}" type="sibTrans" cxnId="{20B0AF11-49C5-4F4F-A65D-71C5D66C8431}">
      <dgm:prSet/>
      <dgm:spPr/>
      <dgm:t>
        <a:bodyPr/>
        <a:lstStyle/>
        <a:p>
          <a:endParaRPr lang="en-US" b="1"/>
        </a:p>
      </dgm:t>
    </dgm:pt>
    <dgm:pt modelId="{EB5D5E34-6856-41E1-98D1-92C25DC63239}">
      <dgm:prSet/>
      <dgm:spPr/>
      <dgm:t>
        <a:bodyPr/>
        <a:lstStyle/>
        <a:p>
          <a:r>
            <a:rPr lang="en-US" b="1" dirty="0"/>
            <a:t>Current Assets – $</a:t>
          </a:r>
          <a:r>
            <a:rPr lang="en-AU" b="1" dirty="0"/>
            <a:t> 649</a:t>
          </a:r>
          <a:r>
            <a:rPr lang="en-US" b="1" dirty="0"/>
            <a:t>m</a:t>
          </a:r>
        </a:p>
      </dgm:t>
    </dgm:pt>
    <dgm:pt modelId="{EF41CEDC-7947-4E35-AB64-B5B15372E1B3}" type="parTrans" cxnId="{535C61A6-2A88-421C-B57B-3233DCCA7BE8}">
      <dgm:prSet/>
      <dgm:spPr/>
      <dgm:t>
        <a:bodyPr/>
        <a:lstStyle/>
        <a:p>
          <a:endParaRPr lang="en-US" b="1"/>
        </a:p>
      </dgm:t>
    </dgm:pt>
    <dgm:pt modelId="{F3433698-3AD9-4BC9-8B02-4347F33AE2B1}" type="sibTrans" cxnId="{535C61A6-2A88-421C-B57B-3233DCCA7BE8}">
      <dgm:prSet/>
      <dgm:spPr/>
      <dgm:t>
        <a:bodyPr/>
        <a:lstStyle/>
        <a:p>
          <a:endParaRPr lang="en-US" b="1"/>
        </a:p>
      </dgm:t>
    </dgm:pt>
    <dgm:pt modelId="{89C38AAE-77E0-4D04-92A3-A9FE9E113714}">
      <dgm:prSet/>
      <dgm:spPr/>
      <dgm:t>
        <a:bodyPr/>
        <a:lstStyle/>
        <a:p>
          <a:pPr>
            <a:defRPr b="1"/>
          </a:pPr>
          <a:r>
            <a:rPr lang="en-US" b="1" dirty="0"/>
            <a:t>2023</a:t>
          </a:r>
        </a:p>
      </dgm:t>
    </dgm:pt>
    <dgm:pt modelId="{BB778D5F-1D8B-425D-976D-F5500AD5975A}" type="parTrans" cxnId="{B71B82A5-E2E4-4469-9175-BBF3992ABBDB}">
      <dgm:prSet/>
      <dgm:spPr/>
      <dgm:t>
        <a:bodyPr/>
        <a:lstStyle/>
        <a:p>
          <a:endParaRPr lang="en-US" b="1"/>
        </a:p>
      </dgm:t>
    </dgm:pt>
    <dgm:pt modelId="{69C1BE28-DD12-4AFA-974B-DE262BF2F964}" type="sibTrans" cxnId="{B71B82A5-E2E4-4469-9175-BBF3992ABBDB}">
      <dgm:prSet/>
      <dgm:spPr/>
      <dgm:t>
        <a:bodyPr/>
        <a:lstStyle/>
        <a:p>
          <a:endParaRPr lang="en-US" b="1"/>
        </a:p>
      </dgm:t>
    </dgm:pt>
    <dgm:pt modelId="{6D7123F4-12FF-459A-9815-2B2A47E04184}">
      <dgm:prSet/>
      <dgm:spPr/>
      <dgm:t>
        <a:bodyPr/>
        <a:lstStyle/>
        <a:p>
          <a:r>
            <a:rPr lang="en-US" b="1" dirty="0"/>
            <a:t>Current Liabilities -$665.7m</a:t>
          </a:r>
        </a:p>
      </dgm:t>
    </dgm:pt>
    <dgm:pt modelId="{2FDBF90F-B9B5-457A-BB42-C53449D23450}" type="parTrans" cxnId="{9713AD0D-1956-4C82-9E4B-713A9AF9314A}">
      <dgm:prSet/>
      <dgm:spPr/>
      <dgm:t>
        <a:bodyPr/>
        <a:lstStyle/>
        <a:p>
          <a:endParaRPr lang="en-AU" b="1"/>
        </a:p>
      </dgm:t>
    </dgm:pt>
    <dgm:pt modelId="{C46E191C-5CDD-4536-82CC-D65016C45354}" type="sibTrans" cxnId="{9713AD0D-1956-4C82-9E4B-713A9AF9314A}">
      <dgm:prSet/>
      <dgm:spPr/>
      <dgm:t>
        <a:bodyPr/>
        <a:lstStyle/>
        <a:p>
          <a:endParaRPr lang="en-AU" b="1"/>
        </a:p>
      </dgm:t>
    </dgm:pt>
    <dgm:pt modelId="{19BD3E34-6D03-4D5A-8613-86D6A6283691}">
      <dgm:prSet/>
      <dgm:spPr/>
      <dgm:t>
        <a:bodyPr/>
        <a:lstStyle/>
        <a:p>
          <a:pPr>
            <a:defRPr b="1"/>
          </a:pPr>
          <a:r>
            <a:rPr lang="en-US" b="1" dirty="0"/>
            <a:t>2024</a:t>
          </a:r>
        </a:p>
      </dgm:t>
    </dgm:pt>
    <dgm:pt modelId="{1658CD73-A100-431E-9375-7575E64D9AC9}" type="parTrans" cxnId="{24884A53-4A5A-4E68-84A6-4E31A6B7790A}">
      <dgm:prSet/>
      <dgm:spPr/>
      <dgm:t>
        <a:bodyPr/>
        <a:lstStyle/>
        <a:p>
          <a:endParaRPr lang="en-AU" b="1"/>
        </a:p>
      </dgm:t>
    </dgm:pt>
    <dgm:pt modelId="{DF95BDC6-D513-4DAA-8754-F249FB2067D7}" type="sibTrans" cxnId="{24884A53-4A5A-4E68-84A6-4E31A6B7790A}">
      <dgm:prSet/>
      <dgm:spPr/>
      <dgm:t>
        <a:bodyPr/>
        <a:lstStyle/>
        <a:p>
          <a:endParaRPr lang="en-AU" b="1"/>
        </a:p>
      </dgm:t>
    </dgm:pt>
    <dgm:pt modelId="{BA80EEA1-DEDC-49F4-8FB7-CE3B4F958DA3}">
      <dgm:prSet/>
      <dgm:spPr/>
      <dgm:t>
        <a:bodyPr/>
        <a:lstStyle/>
        <a:p>
          <a:r>
            <a:rPr lang="en-US" b="1" dirty="0"/>
            <a:t>Current Assets – $</a:t>
          </a:r>
          <a:r>
            <a:rPr lang="en-AU" b="1" dirty="0"/>
            <a:t>585.4</a:t>
          </a:r>
          <a:r>
            <a:rPr lang="en-US" b="1" dirty="0"/>
            <a:t>m</a:t>
          </a:r>
        </a:p>
      </dgm:t>
    </dgm:pt>
    <dgm:pt modelId="{9D944268-3E85-4DE9-A1F7-12B0C3519B5A}" type="parTrans" cxnId="{81FCF467-8B20-44A1-88BB-01D194B54D0D}">
      <dgm:prSet/>
      <dgm:spPr/>
      <dgm:t>
        <a:bodyPr/>
        <a:lstStyle/>
        <a:p>
          <a:endParaRPr lang="en-AU" b="1"/>
        </a:p>
      </dgm:t>
    </dgm:pt>
    <dgm:pt modelId="{6B0E6CCC-493A-412A-9F55-980C3F6A2305}" type="sibTrans" cxnId="{81FCF467-8B20-44A1-88BB-01D194B54D0D}">
      <dgm:prSet/>
      <dgm:spPr/>
      <dgm:t>
        <a:bodyPr/>
        <a:lstStyle/>
        <a:p>
          <a:endParaRPr lang="en-AU" b="1"/>
        </a:p>
      </dgm:t>
    </dgm:pt>
    <dgm:pt modelId="{3656C892-9078-43DF-9DB4-B2F30DB3D84B}">
      <dgm:prSet/>
      <dgm:spPr/>
      <dgm:t>
        <a:bodyPr/>
        <a:lstStyle/>
        <a:p>
          <a:r>
            <a:rPr lang="en-US" b="1" dirty="0"/>
            <a:t>Current Assets – $</a:t>
          </a:r>
          <a:r>
            <a:rPr lang="en-AU" b="1" dirty="0"/>
            <a:t>584.4</a:t>
          </a:r>
          <a:r>
            <a:rPr lang="en-US" b="1" dirty="0"/>
            <a:t>m</a:t>
          </a:r>
        </a:p>
      </dgm:t>
    </dgm:pt>
    <dgm:pt modelId="{AC25BF9D-9410-4919-9C70-5A8F5A976DFB}" type="parTrans" cxnId="{D7DD2153-F9FE-4508-9F52-F08F276D941C}">
      <dgm:prSet/>
      <dgm:spPr/>
      <dgm:t>
        <a:bodyPr/>
        <a:lstStyle/>
        <a:p>
          <a:endParaRPr lang="en-AU" b="1"/>
        </a:p>
      </dgm:t>
    </dgm:pt>
    <dgm:pt modelId="{DBE6A69B-7C7B-44F8-B15E-FF3AC03907BA}" type="sibTrans" cxnId="{D7DD2153-F9FE-4508-9F52-F08F276D941C}">
      <dgm:prSet/>
      <dgm:spPr/>
      <dgm:t>
        <a:bodyPr/>
        <a:lstStyle/>
        <a:p>
          <a:endParaRPr lang="en-AU" b="1"/>
        </a:p>
      </dgm:t>
    </dgm:pt>
    <dgm:pt modelId="{D576DA0F-57C8-4BFF-BFED-FB14E9D6A8A9}">
      <dgm:prSet/>
      <dgm:spPr/>
      <dgm:t>
        <a:bodyPr/>
        <a:lstStyle/>
        <a:p>
          <a:r>
            <a:rPr lang="en-US" b="1" dirty="0"/>
            <a:t>Current Liabilities -$640.7m</a:t>
          </a:r>
        </a:p>
      </dgm:t>
    </dgm:pt>
    <dgm:pt modelId="{11EEEF0D-53AA-4856-8736-4605049ED668}" type="parTrans" cxnId="{6C574715-6A5F-4EA9-9349-907D2640BED3}">
      <dgm:prSet/>
      <dgm:spPr/>
      <dgm:t>
        <a:bodyPr/>
        <a:lstStyle/>
        <a:p>
          <a:endParaRPr lang="en-AU"/>
        </a:p>
      </dgm:t>
    </dgm:pt>
    <dgm:pt modelId="{B047882B-0869-483A-AA18-FE30285BEC6A}" type="sibTrans" cxnId="{6C574715-6A5F-4EA9-9349-907D2640BED3}">
      <dgm:prSet/>
      <dgm:spPr/>
      <dgm:t>
        <a:bodyPr/>
        <a:lstStyle/>
        <a:p>
          <a:endParaRPr lang="en-AU"/>
        </a:p>
      </dgm:t>
    </dgm:pt>
    <dgm:pt modelId="{735E31A1-7651-486A-9B2C-57DD19C951BF}">
      <dgm:prSet/>
      <dgm:spPr/>
      <dgm:t>
        <a:bodyPr/>
        <a:lstStyle/>
        <a:p>
          <a:r>
            <a:rPr lang="en-US" b="1" dirty="0"/>
            <a:t>Current Liabilities -$646.3m</a:t>
          </a:r>
        </a:p>
      </dgm:t>
    </dgm:pt>
    <dgm:pt modelId="{4CAD0FB0-EB35-49B7-85BD-2EF72819A4F5}" type="parTrans" cxnId="{A4254A23-3488-4EFE-A5D2-0DAF9D7F4829}">
      <dgm:prSet/>
      <dgm:spPr/>
      <dgm:t>
        <a:bodyPr/>
        <a:lstStyle/>
        <a:p>
          <a:endParaRPr lang="en-AU"/>
        </a:p>
      </dgm:t>
    </dgm:pt>
    <dgm:pt modelId="{F5A78049-C694-434C-B9BD-3CAE21CF06B8}" type="sibTrans" cxnId="{A4254A23-3488-4EFE-A5D2-0DAF9D7F4829}">
      <dgm:prSet/>
      <dgm:spPr/>
      <dgm:t>
        <a:bodyPr/>
        <a:lstStyle/>
        <a:p>
          <a:endParaRPr lang="en-AU"/>
        </a:p>
      </dgm:t>
    </dgm:pt>
    <dgm:pt modelId="{B1F2F1DA-9170-45CD-AB23-A799467BDC53}" type="pres">
      <dgm:prSet presAssocID="{C2E3943C-550C-4F6F-BE7B-28D674E0291E}" presName="root" presStyleCnt="0">
        <dgm:presLayoutVars>
          <dgm:chMax/>
          <dgm:chPref/>
          <dgm:animLvl val="lvl"/>
        </dgm:presLayoutVars>
      </dgm:prSet>
      <dgm:spPr/>
    </dgm:pt>
    <dgm:pt modelId="{DA095DE8-F9A3-40E1-8B84-EF793B99507A}" type="pres">
      <dgm:prSet presAssocID="{C2E3943C-550C-4F6F-BE7B-28D674E0291E}" presName="divider" presStyleLbl="fgAcc1" presStyleIdx="0" presStyleCnt="4"/>
      <dgm:spPr>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gm:spPr>
    </dgm:pt>
    <dgm:pt modelId="{A8E8D86B-00C8-4E80-99AD-723BBD8F9EC4}" type="pres">
      <dgm:prSet presAssocID="{C2E3943C-550C-4F6F-BE7B-28D674E0291E}" presName="nodes" presStyleCnt="0">
        <dgm:presLayoutVars>
          <dgm:chMax/>
          <dgm:chPref/>
          <dgm:animLvl val="lvl"/>
        </dgm:presLayoutVars>
      </dgm:prSet>
      <dgm:spPr/>
    </dgm:pt>
    <dgm:pt modelId="{132233D2-38AA-4788-B604-CEC944885CE2}" type="pres">
      <dgm:prSet presAssocID="{61B41B6E-E706-4851-BAAA-0D2E6A6DA323}" presName="composite" presStyleCnt="0"/>
      <dgm:spPr/>
    </dgm:pt>
    <dgm:pt modelId="{892071EC-EAF3-40D0-8A85-AD3904426183}" type="pres">
      <dgm:prSet presAssocID="{61B41B6E-E706-4851-BAAA-0D2E6A6DA323}" presName="ConnectorPoint" presStyleLbl="lnNode1" presStyleIdx="0" presStyleCnt="3"/>
      <dgm:spPr>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gm:spPr>
    </dgm:pt>
    <dgm:pt modelId="{DB8BE09E-EC51-4EE2-BE60-52324109552B}" type="pres">
      <dgm:prSet presAssocID="{61B41B6E-E706-4851-BAAA-0D2E6A6DA323}" presName="DropPinPlaceHolder" presStyleCnt="0"/>
      <dgm:spPr/>
    </dgm:pt>
    <dgm:pt modelId="{3403B9FF-17CF-4B68-BB83-C82F37730563}" type="pres">
      <dgm:prSet presAssocID="{61B41B6E-E706-4851-BAAA-0D2E6A6DA323}" presName="DropPin" presStyleLbl="alignNode1" presStyleIdx="0" presStyleCnt="3"/>
      <dgm:spPr/>
    </dgm:pt>
    <dgm:pt modelId="{7A50ECD3-605C-442F-97FC-D68600032CFA}" type="pres">
      <dgm:prSet presAssocID="{61B41B6E-E706-4851-BAAA-0D2E6A6DA323}" presName="Ellipse" presStyleLbl="fgAcc1" presStyleIdx="1" presStyleCnt="4"/>
      <dgm:spPr>
        <a:solidFill>
          <a:schemeClr val="lt1">
            <a:alpha val="90000"/>
            <a:hueOff val="0"/>
            <a:satOff val="0"/>
            <a:lumOff val="0"/>
            <a:alphaOff val="0"/>
          </a:schemeClr>
        </a:solidFill>
        <a:ln w="19050" cap="flat" cmpd="sng" algn="ctr">
          <a:noFill/>
          <a:prstDash val="solid"/>
          <a:miter lim="800000"/>
        </a:ln>
        <a:effectLst/>
      </dgm:spPr>
    </dgm:pt>
    <dgm:pt modelId="{24C10D8C-314A-4E60-B6B0-1E5086AF8241}" type="pres">
      <dgm:prSet presAssocID="{61B41B6E-E706-4851-BAAA-0D2E6A6DA323}" presName="L2TextContainer" presStyleLbl="revTx" presStyleIdx="0" presStyleCnt="6">
        <dgm:presLayoutVars>
          <dgm:bulletEnabled val="1"/>
        </dgm:presLayoutVars>
      </dgm:prSet>
      <dgm:spPr/>
    </dgm:pt>
    <dgm:pt modelId="{06B2E776-DA5C-4D7F-97F2-56D4770AD4DC}" type="pres">
      <dgm:prSet presAssocID="{61B41B6E-E706-4851-BAAA-0D2E6A6DA323}" presName="L1TextContainer" presStyleLbl="revTx" presStyleIdx="1" presStyleCnt="6">
        <dgm:presLayoutVars>
          <dgm:chMax val="1"/>
          <dgm:chPref val="1"/>
          <dgm:bulletEnabled val="1"/>
        </dgm:presLayoutVars>
      </dgm:prSet>
      <dgm:spPr/>
    </dgm:pt>
    <dgm:pt modelId="{C29F99BD-AEAE-4407-B8E4-CD18C282CA15}" type="pres">
      <dgm:prSet presAssocID="{61B41B6E-E706-4851-BAAA-0D2E6A6DA323}" presName="ConnectLine" presStyleLbl="sibTrans1D1" presStyleIdx="0" presStyleCnt="3"/>
      <dgm:spPr>
        <a:noFill/>
        <a:ln w="12700" cap="flat" cmpd="sng" algn="ctr">
          <a:solidFill>
            <a:schemeClr val="accent2">
              <a:hueOff val="0"/>
              <a:satOff val="0"/>
              <a:lumOff val="0"/>
              <a:alphaOff val="0"/>
            </a:schemeClr>
          </a:solidFill>
          <a:prstDash val="dash"/>
          <a:miter lim="800000"/>
        </a:ln>
        <a:effectLst/>
      </dgm:spPr>
    </dgm:pt>
    <dgm:pt modelId="{CABB78D6-1536-4847-9BBB-B7C45A1B001C}" type="pres">
      <dgm:prSet presAssocID="{61B41B6E-E706-4851-BAAA-0D2E6A6DA323}" presName="EmptyPlaceHolder" presStyleCnt="0"/>
      <dgm:spPr/>
    </dgm:pt>
    <dgm:pt modelId="{78B0128E-92A5-4C61-85EE-900DC204BEF7}" type="pres">
      <dgm:prSet presAssocID="{211A6A6F-A225-4A27-89FF-F6DCDB3681C0}" presName="spaceBetweenRectangles" presStyleCnt="0"/>
      <dgm:spPr/>
    </dgm:pt>
    <dgm:pt modelId="{266BBE4F-33B1-419F-A7C1-A7D6A3740AAB}" type="pres">
      <dgm:prSet presAssocID="{89C38AAE-77E0-4D04-92A3-A9FE9E113714}" presName="composite" presStyleCnt="0"/>
      <dgm:spPr/>
    </dgm:pt>
    <dgm:pt modelId="{E91B32C5-7A88-4B22-8A1A-A24F567D35EF}" type="pres">
      <dgm:prSet presAssocID="{89C38AAE-77E0-4D04-92A3-A9FE9E113714}" presName="ConnectorPoint" presStyleLbl="lnNode1" presStyleIdx="1" presStyleCnt="3"/>
      <dgm:spPr>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gm:spPr>
    </dgm:pt>
    <dgm:pt modelId="{1A167933-7F8E-4D5B-A3D5-04124AEE59EB}" type="pres">
      <dgm:prSet presAssocID="{89C38AAE-77E0-4D04-92A3-A9FE9E113714}" presName="DropPinPlaceHolder" presStyleCnt="0"/>
      <dgm:spPr/>
    </dgm:pt>
    <dgm:pt modelId="{642C3C2D-2135-49EE-85E6-9D232B1856EE}" type="pres">
      <dgm:prSet presAssocID="{89C38AAE-77E0-4D04-92A3-A9FE9E113714}" presName="DropPin" presStyleLbl="alignNode1" presStyleIdx="1" presStyleCnt="3"/>
      <dgm:spPr/>
    </dgm:pt>
    <dgm:pt modelId="{C64A5E0B-7A0B-45A4-B467-F1B83E2F6A56}" type="pres">
      <dgm:prSet presAssocID="{89C38AAE-77E0-4D04-92A3-A9FE9E113714}" presName="Ellipse" presStyleLbl="fgAcc1" presStyleIdx="2" presStyleCnt="4"/>
      <dgm:spPr>
        <a:solidFill>
          <a:schemeClr val="lt1">
            <a:alpha val="90000"/>
            <a:hueOff val="0"/>
            <a:satOff val="0"/>
            <a:lumOff val="0"/>
            <a:alphaOff val="0"/>
          </a:schemeClr>
        </a:solidFill>
        <a:ln w="19050" cap="flat" cmpd="sng" algn="ctr">
          <a:noFill/>
          <a:prstDash val="solid"/>
          <a:miter lim="800000"/>
        </a:ln>
        <a:effectLst/>
      </dgm:spPr>
    </dgm:pt>
    <dgm:pt modelId="{BCED990D-EE8B-465E-A3A9-A38637BB38BE}" type="pres">
      <dgm:prSet presAssocID="{89C38AAE-77E0-4D04-92A3-A9FE9E113714}" presName="L2TextContainer" presStyleLbl="revTx" presStyleIdx="2" presStyleCnt="6">
        <dgm:presLayoutVars>
          <dgm:bulletEnabled val="1"/>
        </dgm:presLayoutVars>
      </dgm:prSet>
      <dgm:spPr/>
    </dgm:pt>
    <dgm:pt modelId="{D48ECBF0-BF5E-4F4C-BEBB-7B1DFB0E158F}" type="pres">
      <dgm:prSet presAssocID="{89C38AAE-77E0-4D04-92A3-A9FE9E113714}" presName="L1TextContainer" presStyleLbl="revTx" presStyleIdx="3" presStyleCnt="6">
        <dgm:presLayoutVars>
          <dgm:chMax val="1"/>
          <dgm:chPref val="1"/>
          <dgm:bulletEnabled val="1"/>
        </dgm:presLayoutVars>
      </dgm:prSet>
      <dgm:spPr/>
    </dgm:pt>
    <dgm:pt modelId="{8BC7690D-7CB6-4DE4-B337-6107980C25B0}" type="pres">
      <dgm:prSet presAssocID="{89C38AAE-77E0-4D04-92A3-A9FE9E113714}" presName="ConnectLine" presStyleLbl="sibTrans1D1" presStyleIdx="1" presStyleCnt="3"/>
      <dgm:spPr>
        <a:noFill/>
        <a:ln w="12700" cap="flat" cmpd="sng" algn="ctr">
          <a:solidFill>
            <a:schemeClr val="accent2">
              <a:hueOff val="-5184504"/>
              <a:satOff val="-10204"/>
              <a:lumOff val="6372"/>
              <a:alphaOff val="0"/>
            </a:schemeClr>
          </a:solidFill>
          <a:prstDash val="dash"/>
          <a:miter lim="800000"/>
        </a:ln>
        <a:effectLst/>
      </dgm:spPr>
    </dgm:pt>
    <dgm:pt modelId="{8403AB90-CCE1-4B38-88C7-53FC66150EAF}" type="pres">
      <dgm:prSet presAssocID="{89C38AAE-77E0-4D04-92A3-A9FE9E113714}" presName="EmptyPlaceHolder" presStyleCnt="0"/>
      <dgm:spPr/>
    </dgm:pt>
    <dgm:pt modelId="{BCFCEF64-D83F-4FE3-8A8B-763B4631CF3A}" type="pres">
      <dgm:prSet presAssocID="{69C1BE28-DD12-4AFA-974B-DE262BF2F964}" presName="spaceBetweenRectangles" presStyleCnt="0"/>
      <dgm:spPr/>
    </dgm:pt>
    <dgm:pt modelId="{3869A8C8-F404-44C9-BE01-7A08600B68DE}" type="pres">
      <dgm:prSet presAssocID="{19BD3E34-6D03-4D5A-8613-86D6A6283691}" presName="composite" presStyleCnt="0"/>
      <dgm:spPr/>
    </dgm:pt>
    <dgm:pt modelId="{2C421BBC-6C0C-4982-BAAE-A8B45E04650A}" type="pres">
      <dgm:prSet presAssocID="{19BD3E34-6D03-4D5A-8613-86D6A6283691}" presName="ConnectorPoint" presStyleLbl="lnNode1" presStyleIdx="2" presStyleCnt="3"/>
      <dgm:spPr>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gm:spPr>
    </dgm:pt>
    <dgm:pt modelId="{662F9D2F-169E-4E3E-9242-5AB652C16104}" type="pres">
      <dgm:prSet presAssocID="{19BD3E34-6D03-4D5A-8613-86D6A6283691}" presName="DropPinPlaceHolder" presStyleCnt="0"/>
      <dgm:spPr/>
    </dgm:pt>
    <dgm:pt modelId="{4402B34F-5283-417E-91E4-E66CEE0F872B}" type="pres">
      <dgm:prSet presAssocID="{19BD3E34-6D03-4D5A-8613-86D6A6283691}" presName="DropPin" presStyleLbl="alignNode1" presStyleIdx="2" presStyleCnt="3"/>
      <dgm:spPr/>
    </dgm:pt>
    <dgm:pt modelId="{9064D01D-BEF3-4F2C-B0FE-483EB1435925}" type="pres">
      <dgm:prSet presAssocID="{19BD3E34-6D03-4D5A-8613-86D6A6283691}" presName="Ellipse" presStyleLbl="fgAcc1" presStyleIdx="3" presStyleCnt="4"/>
      <dgm:spPr>
        <a:solidFill>
          <a:schemeClr val="lt1">
            <a:alpha val="90000"/>
            <a:hueOff val="0"/>
            <a:satOff val="0"/>
            <a:lumOff val="0"/>
            <a:alphaOff val="0"/>
          </a:schemeClr>
        </a:solidFill>
        <a:ln w="19050" cap="flat" cmpd="sng" algn="ctr">
          <a:noFill/>
          <a:prstDash val="solid"/>
          <a:miter lim="800000"/>
        </a:ln>
        <a:effectLst/>
      </dgm:spPr>
    </dgm:pt>
    <dgm:pt modelId="{80EBD3E0-9274-4943-B4F3-4BAD315FF1C8}" type="pres">
      <dgm:prSet presAssocID="{19BD3E34-6D03-4D5A-8613-86D6A6283691}" presName="L2TextContainer" presStyleLbl="revTx" presStyleIdx="4" presStyleCnt="6">
        <dgm:presLayoutVars>
          <dgm:bulletEnabled val="1"/>
        </dgm:presLayoutVars>
      </dgm:prSet>
      <dgm:spPr/>
    </dgm:pt>
    <dgm:pt modelId="{C553DA49-5B91-4DDB-A52C-9086FB221A05}" type="pres">
      <dgm:prSet presAssocID="{19BD3E34-6D03-4D5A-8613-86D6A6283691}" presName="L1TextContainer" presStyleLbl="revTx" presStyleIdx="5" presStyleCnt="6">
        <dgm:presLayoutVars>
          <dgm:chMax val="1"/>
          <dgm:chPref val="1"/>
          <dgm:bulletEnabled val="1"/>
        </dgm:presLayoutVars>
      </dgm:prSet>
      <dgm:spPr/>
    </dgm:pt>
    <dgm:pt modelId="{FACCC1AA-CD2F-4D01-A501-4B5252FB01C8}" type="pres">
      <dgm:prSet presAssocID="{19BD3E34-6D03-4D5A-8613-86D6A6283691}" presName="ConnectLine" presStyleLbl="sibTrans1D1" presStyleIdx="2" presStyleCnt="3"/>
      <dgm:spPr>
        <a:noFill/>
        <a:ln w="12700" cap="flat" cmpd="sng" algn="ctr">
          <a:solidFill>
            <a:schemeClr val="accent2">
              <a:hueOff val="-10369007"/>
              <a:satOff val="-20408"/>
              <a:lumOff val="12745"/>
              <a:alphaOff val="0"/>
            </a:schemeClr>
          </a:solidFill>
          <a:prstDash val="dash"/>
          <a:miter lim="800000"/>
        </a:ln>
        <a:effectLst/>
      </dgm:spPr>
    </dgm:pt>
    <dgm:pt modelId="{81035508-C14E-476D-9451-236ECF0EA4EA}" type="pres">
      <dgm:prSet presAssocID="{19BD3E34-6D03-4D5A-8613-86D6A6283691}" presName="EmptyPlaceHolder" presStyleCnt="0"/>
      <dgm:spPr/>
    </dgm:pt>
  </dgm:ptLst>
  <dgm:cxnLst>
    <dgm:cxn modelId="{9713AD0D-1956-4C82-9E4B-713A9AF9314A}" srcId="{61B41B6E-E706-4851-BAAA-0D2E6A6DA323}" destId="{6D7123F4-12FF-459A-9815-2B2A47E04184}" srcOrd="1" destOrd="0" parTransId="{2FDBF90F-B9B5-457A-BB42-C53449D23450}" sibTransId="{C46E191C-5CDD-4536-82CC-D65016C45354}"/>
    <dgm:cxn modelId="{20B0AF11-49C5-4F4F-A65D-71C5D66C8431}" srcId="{C2E3943C-550C-4F6F-BE7B-28D674E0291E}" destId="{61B41B6E-E706-4851-BAAA-0D2E6A6DA323}" srcOrd="0" destOrd="0" parTransId="{3654D46F-4E7B-4D26-A3B4-493364D24DD3}" sibTransId="{211A6A6F-A225-4A27-89FF-F6DCDB3681C0}"/>
    <dgm:cxn modelId="{6C574715-6A5F-4EA9-9349-907D2640BED3}" srcId="{89C38AAE-77E0-4D04-92A3-A9FE9E113714}" destId="{D576DA0F-57C8-4BFF-BFED-FB14E9D6A8A9}" srcOrd="1" destOrd="0" parTransId="{11EEEF0D-53AA-4856-8736-4605049ED668}" sibTransId="{B047882B-0869-483A-AA18-FE30285BEC6A}"/>
    <dgm:cxn modelId="{2BD3E615-56C4-4668-AE79-B27BBD0E3697}" type="presOf" srcId="{C2E3943C-550C-4F6F-BE7B-28D674E0291E}" destId="{B1F2F1DA-9170-45CD-AB23-A799467BDC53}" srcOrd="0" destOrd="0" presId="urn:microsoft.com/office/officeart/2017/3/layout/DropPinTimeline"/>
    <dgm:cxn modelId="{A4254A23-3488-4EFE-A5D2-0DAF9D7F4829}" srcId="{19BD3E34-6D03-4D5A-8613-86D6A6283691}" destId="{735E31A1-7651-486A-9B2C-57DD19C951BF}" srcOrd="1" destOrd="0" parTransId="{4CAD0FB0-EB35-49B7-85BD-2EF72819A4F5}" sibTransId="{F5A78049-C694-434C-B9BD-3CAE21CF06B8}"/>
    <dgm:cxn modelId="{3D23D42F-D9B1-4003-99CC-7B76D2C2E4C8}" type="presOf" srcId="{61B41B6E-E706-4851-BAAA-0D2E6A6DA323}" destId="{06B2E776-DA5C-4D7F-97F2-56D4770AD4DC}" srcOrd="0" destOrd="0" presId="urn:microsoft.com/office/officeart/2017/3/layout/DropPinTimeline"/>
    <dgm:cxn modelId="{81FCF467-8B20-44A1-88BB-01D194B54D0D}" srcId="{89C38AAE-77E0-4D04-92A3-A9FE9E113714}" destId="{BA80EEA1-DEDC-49F4-8FB7-CE3B4F958DA3}" srcOrd="0" destOrd="0" parTransId="{9D944268-3E85-4DE9-A1F7-12B0C3519B5A}" sibTransId="{6B0E6CCC-493A-412A-9F55-980C3F6A2305}"/>
    <dgm:cxn modelId="{DD0E3A69-7140-4324-B84A-C9C44769853F}" type="presOf" srcId="{BA80EEA1-DEDC-49F4-8FB7-CE3B4F958DA3}" destId="{BCED990D-EE8B-465E-A3A9-A38637BB38BE}" srcOrd="0" destOrd="0" presId="urn:microsoft.com/office/officeart/2017/3/layout/DropPinTimeline"/>
    <dgm:cxn modelId="{D7DD2153-F9FE-4508-9F52-F08F276D941C}" srcId="{19BD3E34-6D03-4D5A-8613-86D6A6283691}" destId="{3656C892-9078-43DF-9DB4-B2F30DB3D84B}" srcOrd="0" destOrd="0" parTransId="{AC25BF9D-9410-4919-9C70-5A8F5A976DFB}" sibTransId="{DBE6A69B-7C7B-44F8-B15E-FF3AC03907BA}"/>
    <dgm:cxn modelId="{24884A53-4A5A-4E68-84A6-4E31A6B7790A}" srcId="{C2E3943C-550C-4F6F-BE7B-28D674E0291E}" destId="{19BD3E34-6D03-4D5A-8613-86D6A6283691}" srcOrd="2" destOrd="0" parTransId="{1658CD73-A100-431E-9375-7575E64D9AC9}" sibTransId="{DF95BDC6-D513-4DAA-8754-F249FB2067D7}"/>
    <dgm:cxn modelId="{CED03497-CF10-4288-9930-7F622BB57967}" type="presOf" srcId="{EB5D5E34-6856-41E1-98D1-92C25DC63239}" destId="{24C10D8C-314A-4E60-B6B0-1E5086AF8241}" srcOrd="0" destOrd="0" presId="urn:microsoft.com/office/officeart/2017/3/layout/DropPinTimeline"/>
    <dgm:cxn modelId="{B71B82A5-E2E4-4469-9175-BBF3992ABBDB}" srcId="{C2E3943C-550C-4F6F-BE7B-28D674E0291E}" destId="{89C38AAE-77E0-4D04-92A3-A9FE9E113714}" srcOrd="1" destOrd="0" parTransId="{BB778D5F-1D8B-425D-976D-F5500AD5975A}" sibTransId="{69C1BE28-DD12-4AFA-974B-DE262BF2F964}"/>
    <dgm:cxn modelId="{535C61A6-2A88-421C-B57B-3233DCCA7BE8}" srcId="{61B41B6E-E706-4851-BAAA-0D2E6A6DA323}" destId="{EB5D5E34-6856-41E1-98D1-92C25DC63239}" srcOrd="0" destOrd="0" parTransId="{EF41CEDC-7947-4E35-AB64-B5B15372E1B3}" sibTransId="{F3433698-3AD9-4BC9-8B02-4347F33AE2B1}"/>
    <dgm:cxn modelId="{CE4576AA-0001-4757-B70D-05CE6220EE77}" type="presOf" srcId="{735E31A1-7651-486A-9B2C-57DD19C951BF}" destId="{80EBD3E0-9274-4943-B4F3-4BAD315FF1C8}" srcOrd="0" destOrd="1" presId="urn:microsoft.com/office/officeart/2017/3/layout/DropPinTimeline"/>
    <dgm:cxn modelId="{A51867AB-BD54-4D47-BFF7-FEFC189F447B}" type="presOf" srcId="{3656C892-9078-43DF-9DB4-B2F30DB3D84B}" destId="{80EBD3E0-9274-4943-B4F3-4BAD315FF1C8}" srcOrd="0" destOrd="0" presId="urn:microsoft.com/office/officeart/2017/3/layout/DropPinTimeline"/>
    <dgm:cxn modelId="{145F71B6-1249-4300-BB0B-B7196677906B}" type="presOf" srcId="{D576DA0F-57C8-4BFF-BFED-FB14E9D6A8A9}" destId="{BCED990D-EE8B-465E-A3A9-A38637BB38BE}" srcOrd="0" destOrd="1" presId="urn:microsoft.com/office/officeart/2017/3/layout/DropPinTimeline"/>
    <dgm:cxn modelId="{70EF8DD4-5D40-43C5-80F5-27088FD1A7D9}" type="presOf" srcId="{6D7123F4-12FF-459A-9815-2B2A47E04184}" destId="{24C10D8C-314A-4E60-B6B0-1E5086AF8241}" srcOrd="0" destOrd="1" presId="urn:microsoft.com/office/officeart/2017/3/layout/DropPinTimeline"/>
    <dgm:cxn modelId="{3166F4DF-E49D-478B-9CEE-2777B22CC02D}" type="presOf" srcId="{89C38AAE-77E0-4D04-92A3-A9FE9E113714}" destId="{D48ECBF0-BF5E-4F4C-BEBB-7B1DFB0E158F}" srcOrd="0" destOrd="0" presId="urn:microsoft.com/office/officeart/2017/3/layout/DropPinTimeline"/>
    <dgm:cxn modelId="{96A513F7-F56E-41A1-BF60-0602A524634C}" type="presOf" srcId="{19BD3E34-6D03-4D5A-8613-86D6A6283691}" destId="{C553DA49-5B91-4DDB-A52C-9086FB221A05}" srcOrd="0" destOrd="0" presId="urn:microsoft.com/office/officeart/2017/3/layout/DropPinTimeline"/>
    <dgm:cxn modelId="{1F84B380-6DC8-4E18-8289-8B9C71E1D7CD}" type="presParOf" srcId="{B1F2F1DA-9170-45CD-AB23-A799467BDC53}" destId="{DA095DE8-F9A3-40E1-8B84-EF793B99507A}" srcOrd="0" destOrd="0" presId="urn:microsoft.com/office/officeart/2017/3/layout/DropPinTimeline"/>
    <dgm:cxn modelId="{DD0F896B-2912-4B34-8F20-74D3DF664FB8}" type="presParOf" srcId="{B1F2F1DA-9170-45CD-AB23-A799467BDC53}" destId="{A8E8D86B-00C8-4E80-99AD-723BBD8F9EC4}" srcOrd="1" destOrd="0" presId="urn:microsoft.com/office/officeart/2017/3/layout/DropPinTimeline"/>
    <dgm:cxn modelId="{58F88198-BACA-4672-B18C-7ECE1DE36817}" type="presParOf" srcId="{A8E8D86B-00C8-4E80-99AD-723BBD8F9EC4}" destId="{132233D2-38AA-4788-B604-CEC944885CE2}" srcOrd="0" destOrd="0" presId="urn:microsoft.com/office/officeart/2017/3/layout/DropPinTimeline"/>
    <dgm:cxn modelId="{2563C651-C926-4009-AA7C-6B2E8C3B9BC2}" type="presParOf" srcId="{132233D2-38AA-4788-B604-CEC944885CE2}" destId="{892071EC-EAF3-40D0-8A85-AD3904426183}" srcOrd="0" destOrd="0" presId="urn:microsoft.com/office/officeart/2017/3/layout/DropPinTimeline"/>
    <dgm:cxn modelId="{037ED45D-4A12-47E3-948E-CD1ECFA64431}" type="presParOf" srcId="{132233D2-38AA-4788-B604-CEC944885CE2}" destId="{DB8BE09E-EC51-4EE2-BE60-52324109552B}" srcOrd="1" destOrd="0" presId="urn:microsoft.com/office/officeart/2017/3/layout/DropPinTimeline"/>
    <dgm:cxn modelId="{2A1557A5-2FF0-41BB-8EB4-07B983DE454D}" type="presParOf" srcId="{DB8BE09E-EC51-4EE2-BE60-52324109552B}" destId="{3403B9FF-17CF-4B68-BB83-C82F37730563}" srcOrd="0" destOrd="0" presId="urn:microsoft.com/office/officeart/2017/3/layout/DropPinTimeline"/>
    <dgm:cxn modelId="{9C96E122-58FD-4A06-949F-B89E137BE49C}" type="presParOf" srcId="{DB8BE09E-EC51-4EE2-BE60-52324109552B}" destId="{7A50ECD3-605C-442F-97FC-D68600032CFA}" srcOrd="1" destOrd="0" presId="urn:microsoft.com/office/officeart/2017/3/layout/DropPinTimeline"/>
    <dgm:cxn modelId="{DEF543C9-B562-4B25-9865-4E6EC60BD440}" type="presParOf" srcId="{132233D2-38AA-4788-B604-CEC944885CE2}" destId="{24C10D8C-314A-4E60-B6B0-1E5086AF8241}" srcOrd="2" destOrd="0" presId="urn:microsoft.com/office/officeart/2017/3/layout/DropPinTimeline"/>
    <dgm:cxn modelId="{DB487E03-C337-4B62-ABB8-67DDCAD837FF}" type="presParOf" srcId="{132233D2-38AA-4788-B604-CEC944885CE2}" destId="{06B2E776-DA5C-4D7F-97F2-56D4770AD4DC}" srcOrd="3" destOrd="0" presId="urn:microsoft.com/office/officeart/2017/3/layout/DropPinTimeline"/>
    <dgm:cxn modelId="{7E03B188-CB63-4878-A8C8-797BD81AB026}" type="presParOf" srcId="{132233D2-38AA-4788-B604-CEC944885CE2}" destId="{C29F99BD-AEAE-4407-B8E4-CD18C282CA15}" srcOrd="4" destOrd="0" presId="urn:microsoft.com/office/officeart/2017/3/layout/DropPinTimeline"/>
    <dgm:cxn modelId="{BEA0665A-CEE5-4561-9BCB-784DBA395068}" type="presParOf" srcId="{132233D2-38AA-4788-B604-CEC944885CE2}" destId="{CABB78D6-1536-4847-9BBB-B7C45A1B001C}" srcOrd="5" destOrd="0" presId="urn:microsoft.com/office/officeart/2017/3/layout/DropPinTimeline"/>
    <dgm:cxn modelId="{F9C5370E-61EF-4B8D-8FE8-1D940DC25094}" type="presParOf" srcId="{A8E8D86B-00C8-4E80-99AD-723BBD8F9EC4}" destId="{78B0128E-92A5-4C61-85EE-900DC204BEF7}" srcOrd="1" destOrd="0" presId="urn:microsoft.com/office/officeart/2017/3/layout/DropPinTimeline"/>
    <dgm:cxn modelId="{FF8F05EE-2E7F-4ECE-BB58-EEF42B291751}" type="presParOf" srcId="{A8E8D86B-00C8-4E80-99AD-723BBD8F9EC4}" destId="{266BBE4F-33B1-419F-A7C1-A7D6A3740AAB}" srcOrd="2" destOrd="0" presId="urn:microsoft.com/office/officeart/2017/3/layout/DropPinTimeline"/>
    <dgm:cxn modelId="{69952D21-08B8-4090-B36C-E8749225F016}" type="presParOf" srcId="{266BBE4F-33B1-419F-A7C1-A7D6A3740AAB}" destId="{E91B32C5-7A88-4B22-8A1A-A24F567D35EF}" srcOrd="0" destOrd="0" presId="urn:microsoft.com/office/officeart/2017/3/layout/DropPinTimeline"/>
    <dgm:cxn modelId="{541EA9F4-4F80-492C-B0DC-BE77255EB47F}" type="presParOf" srcId="{266BBE4F-33B1-419F-A7C1-A7D6A3740AAB}" destId="{1A167933-7F8E-4D5B-A3D5-04124AEE59EB}" srcOrd="1" destOrd="0" presId="urn:microsoft.com/office/officeart/2017/3/layout/DropPinTimeline"/>
    <dgm:cxn modelId="{6ED91417-AA0A-4839-8803-F44AF7E7FD90}" type="presParOf" srcId="{1A167933-7F8E-4D5B-A3D5-04124AEE59EB}" destId="{642C3C2D-2135-49EE-85E6-9D232B1856EE}" srcOrd="0" destOrd="0" presId="urn:microsoft.com/office/officeart/2017/3/layout/DropPinTimeline"/>
    <dgm:cxn modelId="{AFCAC7B6-C71F-44A8-80FB-8F73966E0683}" type="presParOf" srcId="{1A167933-7F8E-4D5B-A3D5-04124AEE59EB}" destId="{C64A5E0B-7A0B-45A4-B467-F1B83E2F6A56}" srcOrd="1" destOrd="0" presId="urn:microsoft.com/office/officeart/2017/3/layout/DropPinTimeline"/>
    <dgm:cxn modelId="{D07DCB31-BB5F-43FD-99F0-C8E4A8F60DD5}" type="presParOf" srcId="{266BBE4F-33B1-419F-A7C1-A7D6A3740AAB}" destId="{BCED990D-EE8B-465E-A3A9-A38637BB38BE}" srcOrd="2" destOrd="0" presId="urn:microsoft.com/office/officeart/2017/3/layout/DropPinTimeline"/>
    <dgm:cxn modelId="{7857E1C3-7582-4013-A7EF-F1A99FA38AEE}" type="presParOf" srcId="{266BBE4F-33B1-419F-A7C1-A7D6A3740AAB}" destId="{D48ECBF0-BF5E-4F4C-BEBB-7B1DFB0E158F}" srcOrd="3" destOrd="0" presId="urn:microsoft.com/office/officeart/2017/3/layout/DropPinTimeline"/>
    <dgm:cxn modelId="{E128524A-403F-48ED-85CB-36D049B5F482}" type="presParOf" srcId="{266BBE4F-33B1-419F-A7C1-A7D6A3740AAB}" destId="{8BC7690D-7CB6-4DE4-B337-6107980C25B0}" srcOrd="4" destOrd="0" presId="urn:microsoft.com/office/officeart/2017/3/layout/DropPinTimeline"/>
    <dgm:cxn modelId="{608B7AA8-2142-4FD2-BEC2-B72380DD835D}" type="presParOf" srcId="{266BBE4F-33B1-419F-A7C1-A7D6A3740AAB}" destId="{8403AB90-CCE1-4B38-88C7-53FC66150EAF}" srcOrd="5" destOrd="0" presId="urn:microsoft.com/office/officeart/2017/3/layout/DropPinTimeline"/>
    <dgm:cxn modelId="{21E6F4B8-137A-4B20-917B-67079FF048B3}" type="presParOf" srcId="{A8E8D86B-00C8-4E80-99AD-723BBD8F9EC4}" destId="{BCFCEF64-D83F-4FE3-8A8B-763B4631CF3A}" srcOrd="3" destOrd="0" presId="urn:microsoft.com/office/officeart/2017/3/layout/DropPinTimeline"/>
    <dgm:cxn modelId="{B2D904C9-CC83-4890-9344-660E921AA42B}" type="presParOf" srcId="{A8E8D86B-00C8-4E80-99AD-723BBD8F9EC4}" destId="{3869A8C8-F404-44C9-BE01-7A08600B68DE}" srcOrd="4" destOrd="0" presId="urn:microsoft.com/office/officeart/2017/3/layout/DropPinTimeline"/>
    <dgm:cxn modelId="{F9ECC785-95AC-43C9-A98A-872B7BDCB916}" type="presParOf" srcId="{3869A8C8-F404-44C9-BE01-7A08600B68DE}" destId="{2C421BBC-6C0C-4982-BAAE-A8B45E04650A}" srcOrd="0" destOrd="0" presId="urn:microsoft.com/office/officeart/2017/3/layout/DropPinTimeline"/>
    <dgm:cxn modelId="{F11FB92C-26E5-4677-A897-4BDA87B0082E}" type="presParOf" srcId="{3869A8C8-F404-44C9-BE01-7A08600B68DE}" destId="{662F9D2F-169E-4E3E-9242-5AB652C16104}" srcOrd="1" destOrd="0" presId="urn:microsoft.com/office/officeart/2017/3/layout/DropPinTimeline"/>
    <dgm:cxn modelId="{1BD247B6-2EFD-499B-B536-FE4E5F9057FB}" type="presParOf" srcId="{662F9D2F-169E-4E3E-9242-5AB652C16104}" destId="{4402B34F-5283-417E-91E4-E66CEE0F872B}" srcOrd="0" destOrd="0" presId="urn:microsoft.com/office/officeart/2017/3/layout/DropPinTimeline"/>
    <dgm:cxn modelId="{C39DFC72-EFF3-4355-8325-F95EF47A3CC9}" type="presParOf" srcId="{662F9D2F-169E-4E3E-9242-5AB652C16104}" destId="{9064D01D-BEF3-4F2C-B0FE-483EB1435925}" srcOrd="1" destOrd="0" presId="urn:microsoft.com/office/officeart/2017/3/layout/DropPinTimeline"/>
    <dgm:cxn modelId="{C6DAE68B-A533-4199-868F-8483255EBB99}" type="presParOf" srcId="{3869A8C8-F404-44C9-BE01-7A08600B68DE}" destId="{80EBD3E0-9274-4943-B4F3-4BAD315FF1C8}" srcOrd="2" destOrd="0" presId="urn:microsoft.com/office/officeart/2017/3/layout/DropPinTimeline"/>
    <dgm:cxn modelId="{CF3A4C41-3841-4214-9B27-160484925BF0}" type="presParOf" srcId="{3869A8C8-F404-44C9-BE01-7A08600B68DE}" destId="{C553DA49-5B91-4DDB-A52C-9086FB221A05}" srcOrd="3" destOrd="0" presId="urn:microsoft.com/office/officeart/2017/3/layout/DropPinTimeline"/>
    <dgm:cxn modelId="{9FC7266D-F5DC-4614-AD94-1934F24D1BEC}" type="presParOf" srcId="{3869A8C8-F404-44C9-BE01-7A08600B68DE}" destId="{FACCC1AA-CD2F-4D01-A501-4B5252FB01C8}" srcOrd="4" destOrd="0" presId="urn:microsoft.com/office/officeart/2017/3/layout/DropPinTimeline"/>
    <dgm:cxn modelId="{44B0A539-8757-47C3-9D90-4938DF8419B0}" type="presParOf" srcId="{3869A8C8-F404-44C9-BE01-7A08600B68DE}" destId="{81035508-C14E-476D-9451-236ECF0EA4EA}" srcOrd="5" destOrd="0" presId="urn:microsoft.com/office/officeart/2017/3/layout/DropPinTimeline"/>
  </dgm:cxnLst>
  <dgm:bg/>
  <dgm:whole/>
  <dgm:extLst>
    <a:ext uri="http://schemas.microsoft.com/office/drawing/2008/diagram">
      <dsp:dataModelExt xmlns:dsp="http://schemas.microsoft.com/office/drawing/2008/diagram" relId="rId28"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2E3943C-550C-4F6F-BE7B-28D674E0291E}" type="doc">
      <dgm:prSet loTypeId="urn:microsoft.com/office/officeart/2017/3/layout/DropPinTimeline" loCatId="process" qsTypeId="urn:microsoft.com/office/officeart/2005/8/quickstyle/simple1" qsCatId="simple" csTypeId="urn:microsoft.com/office/officeart/2005/8/colors/colorful2" csCatId="colorful" phldr="1"/>
      <dgm:spPr/>
      <dgm:t>
        <a:bodyPr/>
        <a:lstStyle/>
        <a:p>
          <a:endParaRPr lang="en-US"/>
        </a:p>
      </dgm:t>
    </dgm:pt>
    <dgm:pt modelId="{61B41B6E-E706-4851-BAAA-0D2E6A6DA323}">
      <dgm:prSet/>
      <dgm:spPr/>
      <dgm:t>
        <a:bodyPr/>
        <a:lstStyle/>
        <a:p>
          <a:pPr>
            <a:defRPr b="1"/>
          </a:pPr>
          <a:r>
            <a:rPr lang="en-US" b="1"/>
            <a:t>2022</a:t>
          </a:r>
        </a:p>
      </dgm:t>
    </dgm:pt>
    <dgm:pt modelId="{3654D46F-4E7B-4D26-A3B4-493364D24DD3}" type="parTrans" cxnId="{20B0AF11-49C5-4F4F-A65D-71C5D66C8431}">
      <dgm:prSet/>
      <dgm:spPr/>
      <dgm:t>
        <a:bodyPr/>
        <a:lstStyle/>
        <a:p>
          <a:endParaRPr lang="en-US" b="1"/>
        </a:p>
      </dgm:t>
    </dgm:pt>
    <dgm:pt modelId="{211A6A6F-A225-4A27-89FF-F6DCDB3681C0}" type="sibTrans" cxnId="{20B0AF11-49C5-4F4F-A65D-71C5D66C8431}">
      <dgm:prSet/>
      <dgm:spPr/>
      <dgm:t>
        <a:bodyPr/>
        <a:lstStyle/>
        <a:p>
          <a:endParaRPr lang="en-US" b="1"/>
        </a:p>
      </dgm:t>
    </dgm:pt>
    <dgm:pt modelId="{EB5D5E34-6856-41E1-98D1-92C25DC63239}">
      <dgm:prSet/>
      <dgm:spPr/>
      <dgm:t>
        <a:bodyPr/>
        <a:lstStyle/>
        <a:p>
          <a:r>
            <a:rPr lang="en-US" b="1" dirty="0"/>
            <a:t>Total Liabilities - $2283.2m</a:t>
          </a:r>
        </a:p>
      </dgm:t>
    </dgm:pt>
    <dgm:pt modelId="{EF41CEDC-7947-4E35-AB64-B5B15372E1B3}" type="parTrans" cxnId="{535C61A6-2A88-421C-B57B-3233DCCA7BE8}">
      <dgm:prSet/>
      <dgm:spPr/>
      <dgm:t>
        <a:bodyPr/>
        <a:lstStyle/>
        <a:p>
          <a:endParaRPr lang="en-US" b="1"/>
        </a:p>
      </dgm:t>
    </dgm:pt>
    <dgm:pt modelId="{F3433698-3AD9-4BC9-8B02-4347F33AE2B1}" type="sibTrans" cxnId="{535C61A6-2A88-421C-B57B-3233DCCA7BE8}">
      <dgm:prSet/>
      <dgm:spPr/>
      <dgm:t>
        <a:bodyPr/>
        <a:lstStyle/>
        <a:p>
          <a:endParaRPr lang="en-US" b="1"/>
        </a:p>
      </dgm:t>
    </dgm:pt>
    <dgm:pt modelId="{89C38AAE-77E0-4D04-92A3-A9FE9E113714}">
      <dgm:prSet/>
      <dgm:spPr/>
      <dgm:t>
        <a:bodyPr/>
        <a:lstStyle/>
        <a:p>
          <a:pPr>
            <a:defRPr b="1"/>
          </a:pPr>
          <a:r>
            <a:rPr lang="en-US" b="1" dirty="0"/>
            <a:t>2023</a:t>
          </a:r>
        </a:p>
      </dgm:t>
    </dgm:pt>
    <dgm:pt modelId="{BB778D5F-1D8B-425D-976D-F5500AD5975A}" type="parTrans" cxnId="{B71B82A5-E2E4-4469-9175-BBF3992ABBDB}">
      <dgm:prSet/>
      <dgm:spPr/>
      <dgm:t>
        <a:bodyPr/>
        <a:lstStyle/>
        <a:p>
          <a:endParaRPr lang="en-US" b="1"/>
        </a:p>
      </dgm:t>
    </dgm:pt>
    <dgm:pt modelId="{69C1BE28-DD12-4AFA-974B-DE262BF2F964}" type="sibTrans" cxnId="{B71B82A5-E2E4-4469-9175-BBF3992ABBDB}">
      <dgm:prSet/>
      <dgm:spPr/>
      <dgm:t>
        <a:bodyPr/>
        <a:lstStyle/>
        <a:p>
          <a:endParaRPr lang="en-US" b="1"/>
        </a:p>
      </dgm:t>
    </dgm:pt>
    <dgm:pt modelId="{6D7123F4-12FF-459A-9815-2B2A47E04184}">
      <dgm:prSet/>
      <dgm:spPr/>
      <dgm:t>
        <a:bodyPr/>
        <a:lstStyle/>
        <a:p>
          <a:r>
            <a:rPr lang="en-US" b="1" dirty="0"/>
            <a:t>Total Equity - $267.4m</a:t>
          </a:r>
        </a:p>
      </dgm:t>
    </dgm:pt>
    <dgm:pt modelId="{2FDBF90F-B9B5-457A-BB42-C53449D23450}" type="parTrans" cxnId="{9713AD0D-1956-4C82-9E4B-713A9AF9314A}">
      <dgm:prSet/>
      <dgm:spPr/>
      <dgm:t>
        <a:bodyPr/>
        <a:lstStyle/>
        <a:p>
          <a:endParaRPr lang="en-AU" b="1"/>
        </a:p>
      </dgm:t>
    </dgm:pt>
    <dgm:pt modelId="{C46E191C-5CDD-4536-82CC-D65016C45354}" type="sibTrans" cxnId="{9713AD0D-1956-4C82-9E4B-713A9AF9314A}">
      <dgm:prSet/>
      <dgm:spPr/>
      <dgm:t>
        <a:bodyPr/>
        <a:lstStyle/>
        <a:p>
          <a:endParaRPr lang="en-AU" b="1"/>
        </a:p>
      </dgm:t>
    </dgm:pt>
    <dgm:pt modelId="{19BD3E34-6D03-4D5A-8613-86D6A6283691}">
      <dgm:prSet/>
      <dgm:spPr/>
      <dgm:t>
        <a:bodyPr/>
        <a:lstStyle/>
        <a:p>
          <a:pPr>
            <a:defRPr b="1"/>
          </a:pPr>
          <a:r>
            <a:rPr lang="en-US" b="1" dirty="0"/>
            <a:t>2024</a:t>
          </a:r>
        </a:p>
      </dgm:t>
    </dgm:pt>
    <dgm:pt modelId="{1658CD73-A100-431E-9375-7575E64D9AC9}" type="parTrans" cxnId="{24884A53-4A5A-4E68-84A6-4E31A6B7790A}">
      <dgm:prSet/>
      <dgm:spPr/>
      <dgm:t>
        <a:bodyPr/>
        <a:lstStyle/>
        <a:p>
          <a:endParaRPr lang="en-AU" b="1"/>
        </a:p>
      </dgm:t>
    </dgm:pt>
    <dgm:pt modelId="{DF95BDC6-D513-4DAA-8754-F249FB2067D7}" type="sibTrans" cxnId="{24884A53-4A5A-4E68-84A6-4E31A6B7790A}">
      <dgm:prSet/>
      <dgm:spPr/>
      <dgm:t>
        <a:bodyPr/>
        <a:lstStyle/>
        <a:p>
          <a:endParaRPr lang="en-AU" b="1"/>
        </a:p>
      </dgm:t>
    </dgm:pt>
    <dgm:pt modelId="{BA80EEA1-DEDC-49F4-8FB7-CE3B4F958DA3}">
      <dgm:prSet/>
      <dgm:spPr/>
      <dgm:t>
        <a:bodyPr/>
        <a:lstStyle/>
        <a:p>
          <a:r>
            <a:rPr lang="en-US" b="1" dirty="0"/>
            <a:t>Total Liabilities - $2196.3m</a:t>
          </a:r>
        </a:p>
      </dgm:t>
    </dgm:pt>
    <dgm:pt modelId="{9D944268-3E85-4DE9-A1F7-12B0C3519B5A}" type="parTrans" cxnId="{81FCF467-8B20-44A1-88BB-01D194B54D0D}">
      <dgm:prSet/>
      <dgm:spPr/>
      <dgm:t>
        <a:bodyPr/>
        <a:lstStyle/>
        <a:p>
          <a:endParaRPr lang="en-AU" b="1"/>
        </a:p>
      </dgm:t>
    </dgm:pt>
    <dgm:pt modelId="{6B0E6CCC-493A-412A-9F55-980C3F6A2305}" type="sibTrans" cxnId="{81FCF467-8B20-44A1-88BB-01D194B54D0D}">
      <dgm:prSet/>
      <dgm:spPr/>
      <dgm:t>
        <a:bodyPr/>
        <a:lstStyle/>
        <a:p>
          <a:endParaRPr lang="en-AU" b="1"/>
        </a:p>
      </dgm:t>
    </dgm:pt>
    <dgm:pt modelId="{3656C892-9078-43DF-9DB4-B2F30DB3D84B}">
      <dgm:prSet/>
      <dgm:spPr/>
      <dgm:t>
        <a:bodyPr/>
        <a:lstStyle/>
        <a:p>
          <a:r>
            <a:rPr lang="en-US" b="1" dirty="0"/>
            <a:t>Total Liabilities - $2120.5m</a:t>
          </a:r>
        </a:p>
      </dgm:t>
    </dgm:pt>
    <dgm:pt modelId="{AC25BF9D-9410-4919-9C70-5A8F5A976DFB}" type="parTrans" cxnId="{D7DD2153-F9FE-4508-9F52-F08F276D941C}">
      <dgm:prSet/>
      <dgm:spPr/>
      <dgm:t>
        <a:bodyPr/>
        <a:lstStyle/>
        <a:p>
          <a:endParaRPr lang="en-AU" b="1"/>
        </a:p>
      </dgm:t>
    </dgm:pt>
    <dgm:pt modelId="{DBE6A69B-7C7B-44F8-B15E-FF3AC03907BA}" type="sibTrans" cxnId="{D7DD2153-F9FE-4508-9F52-F08F276D941C}">
      <dgm:prSet/>
      <dgm:spPr/>
      <dgm:t>
        <a:bodyPr/>
        <a:lstStyle/>
        <a:p>
          <a:endParaRPr lang="en-AU" b="1"/>
        </a:p>
      </dgm:t>
    </dgm:pt>
    <dgm:pt modelId="{5702C0A2-4657-490F-AB5C-7716CA0B292A}">
      <dgm:prSet/>
      <dgm:spPr/>
      <dgm:t>
        <a:bodyPr/>
        <a:lstStyle/>
        <a:p>
          <a:r>
            <a:rPr lang="en-US" b="1" dirty="0"/>
            <a:t>Total Equity - $240.5m</a:t>
          </a:r>
        </a:p>
      </dgm:t>
    </dgm:pt>
    <dgm:pt modelId="{68CA6B19-4354-4BBB-9DAA-5D7B4E242380}" type="parTrans" cxnId="{62C4E1FA-FF01-4C16-BEE3-804330F947C9}">
      <dgm:prSet/>
      <dgm:spPr/>
      <dgm:t>
        <a:bodyPr/>
        <a:lstStyle/>
        <a:p>
          <a:endParaRPr lang="en-AU" b="1"/>
        </a:p>
      </dgm:t>
    </dgm:pt>
    <dgm:pt modelId="{5DA568AA-3984-474B-87C6-5DD452AD90D1}" type="sibTrans" cxnId="{62C4E1FA-FF01-4C16-BEE3-804330F947C9}">
      <dgm:prSet/>
      <dgm:spPr/>
      <dgm:t>
        <a:bodyPr/>
        <a:lstStyle/>
        <a:p>
          <a:endParaRPr lang="en-AU" b="1"/>
        </a:p>
      </dgm:t>
    </dgm:pt>
    <dgm:pt modelId="{8223302B-8A16-417D-A18A-81F9FA05F74A}">
      <dgm:prSet/>
      <dgm:spPr/>
      <dgm:t>
        <a:bodyPr/>
        <a:lstStyle/>
        <a:p>
          <a:r>
            <a:rPr lang="en-US" b="1" dirty="0"/>
            <a:t>Total Equity - $255m</a:t>
          </a:r>
        </a:p>
      </dgm:t>
    </dgm:pt>
    <dgm:pt modelId="{35EBE723-CB86-412C-A0D0-8BD445A795C0}" type="parTrans" cxnId="{70F22A5B-2EEE-46D9-966E-F805C85BC0BA}">
      <dgm:prSet/>
      <dgm:spPr/>
      <dgm:t>
        <a:bodyPr/>
        <a:lstStyle/>
        <a:p>
          <a:endParaRPr lang="en-AU" b="1"/>
        </a:p>
      </dgm:t>
    </dgm:pt>
    <dgm:pt modelId="{61512CF9-87A7-4D31-A548-C4392EE04152}" type="sibTrans" cxnId="{70F22A5B-2EEE-46D9-966E-F805C85BC0BA}">
      <dgm:prSet/>
      <dgm:spPr/>
      <dgm:t>
        <a:bodyPr/>
        <a:lstStyle/>
        <a:p>
          <a:endParaRPr lang="en-AU" b="1"/>
        </a:p>
      </dgm:t>
    </dgm:pt>
    <dgm:pt modelId="{B1F2F1DA-9170-45CD-AB23-A799467BDC53}" type="pres">
      <dgm:prSet presAssocID="{C2E3943C-550C-4F6F-BE7B-28D674E0291E}" presName="root" presStyleCnt="0">
        <dgm:presLayoutVars>
          <dgm:chMax/>
          <dgm:chPref/>
          <dgm:animLvl val="lvl"/>
        </dgm:presLayoutVars>
      </dgm:prSet>
      <dgm:spPr/>
    </dgm:pt>
    <dgm:pt modelId="{DA095DE8-F9A3-40E1-8B84-EF793B99507A}" type="pres">
      <dgm:prSet presAssocID="{C2E3943C-550C-4F6F-BE7B-28D674E0291E}" presName="divider" presStyleLbl="fgAcc1" presStyleIdx="0" presStyleCnt="4"/>
      <dgm:spPr>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gm:spPr>
    </dgm:pt>
    <dgm:pt modelId="{A8E8D86B-00C8-4E80-99AD-723BBD8F9EC4}" type="pres">
      <dgm:prSet presAssocID="{C2E3943C-550C-4F6F-BE7B-28D674E0291E}" presName="nodes" presStyleCnt="0">
        <dgm:presLayoutVars>
          <dgm:chMax/>
          <dgm:chPref/>
          <dgm:animLvl val="lvl"/>
        </dgm:presLayoutVars>
      </dgm:prSet>
      <dgm:spPr/>
    </dgm:pt>
    <dgm:pt modelId="{132233D2-38AA-4788-B604-CEC944885CE2}" type="pres">
      <dgm:prSet presAssocID="{61B41B6E-E706-4851-BAAA-0D2E6A6DA323}" presName="composite" presStyleCnt="0"/>
      <dgm:spPr/>
    </dgm:pt>
    <dgm:pt modelId="{892071EC-EAF3-40D0-8A85-AD3904426183}" type="pres">
      <dgm:prSet presAssocID="{61B41B6E-E706-4851-BAAA-0D2E6A6DA323}" presName="ConnectorPoint" presStyleLbl="lnNode1" presStyleIdx="0" presStyleCnt="3"/>
      <dgm:spPr>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gm:spPr>
    </dgm:pt>
    <dgm:pt modelId="{DB8BE09E-EC51-4EE2-BE60-52324109552B}" type="pres">
      <dgm:prSet presAssocID="{61B41B6E-E706-4851-BAAA-0D2E6A6DA323}" presName="DropPinPlaceHolder" presStyleCnt="0"/>
      <dgm:spPr/>
    </dgm:pt>
    <dgm:pt modelId="{3403B9FF-17CF-4B68-BB83-C82F37730563}" type="pres">
      <dgm:prSet presAssocID="{61B41B6E-E706-4851-BAAA-0D2E6A6DA323}" presName="DropPin" presStyleLbl="alignNode1" presStyleIdx="0" presStyleCnt="3"/>
      <dgm:spPr/>
    </dgm:pt>
    <dgm:pt modelId="{7A50ECD3-605C-442F-97FC-D68600032CFA}" type="pres">
      <dgm:prSet presAssocID="{61B41B6E-E706-4851-BAAA-0D2E6A6DA323}" presName="Ellipse" presStyleLbl="fgAcc1" presStyleIdx="1" presStyleCnt="4"/>
      <dgm:spPr>
        <a:solidFill>
          <a:schemeClr val="lt1">
            <a:alpha val="90000"/>
            <a:hueOff val="0"/>
            <a:satOff val="0"/>
            <a:lumOff val="0"/>
            <a:alphaOff val="0"/>
          </a:schemeClr>
        </a:solidFill>
        <a:ln w="19050" cap="flat" cmpd="sng" algn="ctr">
          <a:noFill/>
          <a:prstDash val="solid"/>
          <a:miter lim="800000"/>
        </a:ln>
        <a:effectLst/>
      </dgm:spPr>
    </dgm:pt>
    <dgm:pt modelId="{24C10D8C-314A-4E60-B6B0-1E5086AF8241}" type="pres">
      <dgm:prSet presAssocID="{61B41B6E-E706-4851-BAAA-0D2E6A6DA323}" presName="L2TextContainer" presStyleLbl="revTx" presStyleIdx="0" presStyleCnt="6">
        <dgm:presLayoutVars>
          <dgm:bulletEnabled val="1"/>
        </dgm:presLayoutVars>
      </dgm:prSet>
      <dgm:spPr/>
    </dgm:pt>
    <dgm:pt modelId="{06B2E776-DA5C-4D7F-97F2-56D4770AD4DC}" type="pres">
      <dgm:prSet presAssocID="{61B41B6E-E706-4851-BAAA-0D2E6A6DA323}" presName="L1TextContainer" presStyleLbl="revTx" presStyleIdx="1" presStyleCnt="6">
        <dgm:presLayoutVars>
          <dgm:chMax val="1"/>
          <dgm:chPref val="1"/>
          <dgm:bulletEnabled val="1"/>
        </dgm:presLayoutVars>
      </dgm:prSet>
      <dgm:spPr/>
    </dgm:pt>
    <dgm:pt modelId="{C29F99BD-AEAE-4407-B8E4-CD18C282CA15}" type="pres">
      <dgm:prSet presAssocID="{61B41B6E-E706-4851-BAAA-0D2E6A6DA323}" presName="ConnectLine" presStyleLbl="sibTrans1D1" presStyleIdx="0" presStyleCnt="3"/>
      <dgm:spPr>
        <a:noFill/>
        <a:ln w="12700" cap="flat" cmpd="sng" algn="ctr">
          <a:solidFill>
            <a:schemeClr val="accent2">
              <a:hueOff val="0"/>
              <a:satOff val="0"/>
              <a:lumOff val="0"/>
              <a:alphaOff val="0"/>
            </a:schemeClr>
          </a:solidFill>
          <a:prstDash val="dash"/>
          <a:miter lim="800000"/>
        </a:ln>
        <a:effectLst/>
      </dgm:spPr>
    </dgm:pt>
    <dgm:pt modelId="{CABB78D6-1536-4847-9BBB-B7C45A1B001C}" type="pres">
      <dgm:prSet presAssocID="{61B41B6E-E706-4851-BAAA-0D2E6A6DA323}" presName="EmptyPlaceHolder" presStyleCnt="0"/>
      <dgm:spPr/>
    </dgm:pt>
    <dgm:pt modelId="{78B0128E-92A5-4C61-85EE-900DC204BEF7}" type="pres">
      <dgm:prSet presAssocID="{211A6A6F-A225-4A27-89FF-F6DCDB3681C0}" presName="spaceBetweenRectangles" presStyleCnt="0"/>
      <dgm:spPr/>
    </dgm:pt>
    <dgm:pt modelId="{266BBE4F-33B1-419F-A7C1-A7D6A3740AAB}" type="pres">
      <dgm:prSet presAssocID="{89C38AAE-77E0-4D04-92A3-A9FE9E113714}" presName="composite" presStyleCnt="0"/>
      <dgm:spPr/>
    </dgm:pt>
    <dgm:pt modelId="{E91B32C5-7A88-4B22-8A1A-A24F567D35EF}" type="pres">
      <dgm:prSet presAssocID="{89C38AAE-77E0-4D04-92A3-A9FE9E113714}" presName="ConnectorPoint" presStyleLbl="lnNode1" presStyleIdx="1" presStyleCnt="3"/>
      <dgm:spPr>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gm:spPr>
    </dgm:pt>
    <dgm:pt modelId="{1A167933-7F8E-4D5B-A3D5-04124AEE59EB}" type="pres">
      <dgm:prSet presAssocID="{89C38AAE-77E0-4D04-92A3-A9FE9E113714}" presName="DropPinPlaceHolder" presStyleCnt="0"/>
      <dgm:spPr/>
    </dgm:pt>
    <dgm:pt modelId="{642C3C2D-2135-49EE-85E6-9D232B1856EE}" type="pres">
      <dgm:prSet presAssocID="{89C38AAE-77E0-4D04-92A3-A9FE9E113714}" presName="DropPin" presStyleLbl="alignNode1" presStyleIdx="1" presStyleCnt="3"/>
      <dgm:spPr/>
    </dgm:pt>
    <dgm:pt modelId="{C64A5E0B-7A0B-45A4-B467-F1B83E2F6A56}" type="pres">
      <dgm:prSet presAssocID="{89C38AAE-77E0-4D04-92A3-A9FE9E113714}" presName="Ellipse" presStyleLbl="fgAcc1" presStyleIdx="2" presStyleCnt="4"/>
      <dgm:spPr>
        <a:solidFill>
          <a:schemeClr val="lt1">
            <a:alpha val="90000"/>
            <a:hueOff val="0"/>
            <a:satOff val="0"/>
            <a:lumOff val="0"/>
            <a:alphaOff val="0"/>
          </a:schemeClr>
        </a:solidFill>
        <a:ln w="19050" cap="flat" cmpd="sng" algn="ctr">
          <a:noFill/>
          <a:prstDash val="solid"/>
          <a:miter lim="800000"/>
        </a:ln>
        <a:effectLst/>
      </dgm:spPr>
    </dgm:pt>
    <dgm:pt modelId="{BCED990D-EE8B-465E-A3A9-A38637BB38BE}" type="pres">
      <dgm:prSet presAssocID="{89C38AAE-77E0-4D04-92A3-A9FE9E113714}" presName="L2TextContainer" presStyleLbl="revTx" presStyleIdx="2" presStyleCnt="6">
        <dgm:presLayoutVars>
          <dgm:bulletEnabled val="1"/>
        </dgm:presLayoutVars>
      </dgm:prSet>
      <dgm:spPr/>
    </dgm:pt>
    <dgm:pt modelId="{D48ECBF0-BF5E-4F4C-BEBB-7B1DFB0E158F}" type="pres">
      <dgm:prSet presAssocID="{89C38AAE-77E0-4D04-92A3-A9FE9E113714}" presName="L1TextContainer" presStyleLbl="revTx" presStyleIdx="3" presStyleCnt="6">
        <dgm:presLayoutVars>
          <dgm:chMax val="1"/>
          <dgm:chPref val="1"/>
          <dgm:bulletEnabled val="1"/>
        </dgm:presLayoutVars>
      </dgm:prSet>
      <dgm:spPr/>
    </dgm:pt>
    <dgm:pt modelId="{8BC7690D-7CB6-4DE4-B337-6107980C25B0}" type="pres">
      <dgm:prSet presAssocID="{89C38AAE-77E0-4D04-92A3-A9FE9E113714}" presName="ConnectLine" presStyleLbl="sibTrans1D1" presStyleIdx="1" presStyleCnt="3"/>
      <dgm:spPr>
        <a:noFill/>
        <a:ln w="12700" cap="flat" cmpd="sng" algn="ctr">
          <a:solidFill>
            <a:schemeClr val="accent2">
              <a:hueOff val="-5184504"/>
              <a:satOff val="-10204"/>
              <a:lumOff val="6372"/>
              <a:alphaOff val="0"/>
            </a:schemeClr>
          </a:solidFill>
          <a:prstDash val="dash"/>
          <a:miter lim="800000"/>
        </a:ln>
        <a:effectLst/>
      </dgm:spPr>
    </dgm:pt>
    <dgm:pt modelId="{8403AB90-CCE1-4B38-88C7-53FC66150EAF}" type="pres">
      <dgm:prSet presAssocID="{89C38AAE-77E0-4D04-92A3-A9FE9E113714}" presName="EmptyPlaceHolder" presStyleCnt="0"/>
      <dgm:spPr/>
    </dgm:pt>
    <dgm:pt modelId="{BCFCEF64-D83F-4FE3-8A8B-763B4631CF3A}" type="pres">
      <dgm:prSet presAssocID="{69C1BE28-DD12-4AFA-974B-DE262BF2F964}" presName="spaceBetweenRectangles" presStyleCnt="0"/>
      <dgm:spPr/>
    </dgm:pt>
    <dgm:pt modelId="{3869A8C8-F404-44C9-BE01-7A08600B68DE}" type="pres">
      <dgm:prSet presAssocID="{19BD3E34-6D03-4D5A-8613-86D6A6283691}" presName="composite" presStyleCnt="0"/>
      <dgm:spPr/>
    </dgm:pt>
    <dgm:pt modelId="{2C421BBC-6C0C-4982-BAAE-A8B45E04650A}" type="pres">
      <dgm:prSet presAssocID="{19BD3E34-6D03-4D5A-8613-86D6A6283691}" presName="ConnectorPoint" presStyleLbl="lnNode1" presStyleIdx="2" presStyleCnt="3"/>
      <dgm:spPr>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gm:spPr>
    </dgm:pt>
    <dgm:pt modelId="{662F9D2F-169E-4E3E-9242-5AB652C16104}" type="pres">
      <dgm:prSet presAssocID="{19BD3E34-6D03-4D5A-8613-86D6A6283691}" presName="DropPinPlaceHolder" presStyleCnt="0"/>
      <dgm:spPr/>
    </dgm:pt>
    <dgm:pt modelId="{4402B34F-5283-417E-91E4-E66CEE0F872B}" type="pres">
      <dgm:prSet presAssocID="{19BD3E34-6D03-4D5A-8613-86D6A6283691}" presName="DropPin" presStyleLbl="alignNode1" presStyleIdx="2" presStyleCnt="3"/>
      <dgm:spPr/>
    </dgm:pt>
    <dgm:pt modelId="{9064D01D-BEF3-4F2C-B0FE-483EB1435925}" type="pres">
      <dgm:prSet presAssocID="{19BD3E34-6D03-4D5A-8613-86D6A6283691}" presName="Ellipse" presStyleLbl="fgAcc1" presStyleIdx="3" presStyleCnt="4"/>
      <dgm:spPr>
        <a:solidFill>
          <a:schemeClr val="lt1">
            <a:alpha val="90000"/>
            <a:hueOff val="0"/>
            <a:satOff val="0"/>
            <a:lumOff val="0"/>
            <a:alphaOff val="0"/>
          </a:schemeClr>
        </a:solidFill>
        <a:ln w="19050" cap="flat" cmpd="sng" algn="ctr">
          <a:noFill/>
          <a:prstDash val="solid"/>
          <a:miter lim="800000"/>
        </a:ln>
        <a:effectLst/>
      </dgm:spPr>
    </dgm:pt>
    <dgm:pt modelId="{80EBD3E0-9274-4943-B4F3-4BAD315FF1C8}" type="pres">
      <dgm:prSet presAssocID="{19BD3E34-6D03-4D5A-8613-86D6A6283691}" presName="L2TextContainer" presStyleLbl="revTx" presStyleIdx="4" presStyleCnt="6">
        <dgm:presLayoutVars>
          <dgm:bulletEnabled val="1"/>
        </dgm:presLayoutVars>
      </dgm:prSet>
      <dgm:spPr/>
    </dgm:pt>
    <dgm:pt modelId="{C553DA49-5B91-4DDB-A52C-9086FB221A05}" type="pres">
      <dgm:prSet presAssocID="{19BD3E34-6D03-4D5A-8613-86D6A6283691}" presName="L1TextContainer" presStyleLbl="revTx" presStyleIdx="5" presStyleCnt="6">
        <dgm:presLayoutVars>
          <dgm:chMax val="1"/>
          <dgm:chPref val="1"/>
          <dgm:bulletEnabled val="1"/>
        </dgm:presLayoutVars>
      </dgm:prSet>
      <dgm:spPr/>
    </dgm:pt>
    <dgm:pt modelId="{FACCC1AA-CD2F-4D01-A501-4B5252FB01C8}" type="pres">
      <dgm:prSet presAssocID="{19BD3E34-6D03-4D5A-8613-86D6A6283691}" presName="ConnectLine" presStyleLbl="sibTrans1D1" presStyleIdx="2" presStyleCnt="3"/>
      <dgm:spPr>
        <a:noFill/>
        <a:ln w="12700" cap="flat" cmpd="sng" algn="ctr">
          <a:solidFill>
            <a:schemeClr val="accent2">
              <a:hueOff val="-10369007"/>
              <a:satOff val="-20408"/>
              <a:lumOff val="12745"/>
              <a:alphaOff val="0"/>
            </a:schemeClr>
          </a:solidFill>
          <a:prstDash val="dash"/>
          <a:miter lim="800000"/>
        </a:ln>
        <a:effectLst/>
      </dgm:spPr>
    </dgm:pt>
    <dgm:pt modelId="{81035508-C14E-476D-9451-236ECF0EA4EA}" type="pres">
      <dgm:prSet presAssocID="{19BD3E34-6D03-4D5A-8613-86D6A6283691}" presName="EmptyPlaceHolder" presStyleCnt="0"/>
      <dgm:spPr/>
    </dgm:pt>
  </dgm:ptLst>
  <dgm:cxnLst>
    <dgm:cxn modelId="{9713AD0D-1956-4C82-9E4B-713A9AF9314A}" srcId="{61B41B6E-E706-4851-BAAA-0D2E6A6DA323}" destId="{6D7123F4-12FF-459A-9815-2B2A47E04184}" srcOrd="1" destOrd="0" parTransId="{2FDBF90F-B9B5-457A-BB42-C53449D23450}" sibTransId="{C46E191C-5CDD-4536-82CC-D65016C45354}"/>
    <dgm:cxn modelId="{20B0AF11-49C5-4F4F-A65D-71C5D66C8431}" srcId="{C2E3943C-550C-4F6F-BE7B-28D674E0291E}" destId="{61B41B6E-E706-4851-BAAA-0D2E6A6DA323}" srcOrd="0" destOrd="0" parTransId="{3654D46F-4E7B-4D26-A3B4-493364D24DD3}" sibTransId="{211A6A6F-A225-4A27-89FF-F6DCDB3681C0}"/>
    <dgm:cxn modelId="{5B0A8B12-3E61-407F-BDB6-00CEDBABC5B9}" type="presOf" srcId="{5702C0A2-4657-490F-AB5C-7716CA0B292A}" destId="{BCED990D-EE8B-465E-A3A9-A38637BB38BE}" srcOrd="0" destOrd="1" presId="urn:microsoft.com/office/officeart/2017/3/layout/DropPinTimeline"/>
    <dgm:cxn modelId="{2BD3E615-56C4-4668-AE79-B27BBD0E3697}" type="presOf" srcId="{C2E3943C-550C-4F6F-BE7B-28D674E0291E}" destId="{B1F2F1DA-9170-45CD-AB23-A799467BDC53}" srcOrd="0" destOrd="0" presId="urn:microsoft.com/office/officeart/2017/3/layout/DropPinTimeline"/>
    <dgm:cxn modelId="{3D23D42F-D9B1-4003-99CC-7B76D2C2E4C8}" type="presOf" srcId="{61B41B6E-E706-4851-BAAA-0D2E6A6DA323}" destId="{06B2E776-DA5C-4D7F-97F2-56D4770AD4DC}" srcOrd="0" destOrd="0" presId="urn:microsoft.com/office/officeart/2017/3/layout/DropPinTimeline"/>
    <dgm:cxn modelId="{70F22A5B-2EEE-46D9-966E-F805C85BC0BA}" srcId="{19BD3E34-6D03-4D5A-8613-86D6A6283691}" destId="{8223302B-8A16-417D-A18A-81F9FA05F74A}" srcOrd="1" destOrd="0" parTransId="{35EBE723-CB86-412C-A0D0-8BD445A795C0}" sibTransId="{61512CF9-87A7-4D31-A548-C4392EE04152}"/>
    <dgm:cxn modelId="{81FCF467-8B20-44A1-88BB-01D194B54D0D}" srcId="{89C38AAE-77E0-4D04-92A3-A9FE9E113714}" destId="{BA80EEA1-DEDC-49F4-8FB7-CE3B4F958DA3}" srcOrd="0" destOrd="0" parTransId="{9D944268-3E85-4DE9-A1F7-12B0C3519B5A}" sibTransId="{6B0E6CCC-493A-412A-9F55-980C3F6A2305}"/>
    <dgm:cxn modelId="{DD0E3A69-7140-4324-B84A-C9C44769853F}" type="presOf" srcId="{BA80EEA1-DEDC-49F4-8FB7-CE3B4F958DA3}" destId="{BCED990D-EE8B-465E-A3A9-A38637BB38BE}" srcOrd="0" destOrd="0" presId="urn:microsoft.com/office/officeart/2017/3/layout/DropPinTimeline"/>
    <dgm:cxn modelId="{D7DD2153-F9FE-4508-9F52-F08F276D941C}" srcId="{19BD3E34-6D03-4D5A-8613-86D6A6283691}" destId="{3656C892-9078-43DF-9DB4-B2F30DB3D84B}" srcOrd="0" destOrd="0" parTransId="{AC25BF9D-9410-4919-9C70-5A8F5A976DFB}" sibTransId="{DBE6A69B-7C7B-44F8-B15E-FF3AC03907BA}"/>
    <dgm:cxn modelId="{24884A53-4A5A-4E68-84A6-4E31A6B7790A}" srcId="{C2E3943C-550C-4F6F-BE7B-28D674E0291E}" destId="{19BD3E34-6D03-4D5A-8613-86D6A6283691}" srcOrd="2" destOrd="0" parTransId="{1658CD73-A100-431E-9375-7575E64D9AC9}" sibTransId="{DF95BDC6-D513-4DAA-8754-F249FB2067D7}"/>
    <dgm:cxn modelId="{CED03497-CF10-4288-9930-7F622BB57967}" type="presOf" srcId="{EB5D5E34-6856-41E1-98D1-92C25DC63239}" destId="{24C10D8C-314A-4E60-B6B0-1E5086AF8241}" srcOrd="0" destOrd="0" presId="urn:microsoft.com/office/officeart/2017/3/layout/DropPinTimeline"/>
    <dgm:cxn modelId="{B71B82A5-E2E4-4469-9175-BBF3992ABBDB}" srcId="{C2E3943C-550C-4F6F-BE7B-28D674E0291E}" destId="{89C38AAE-77E0-4D04-92A3-A9FE9E113714}" srcOrd="1" destOrd="0" parTransId="{BB778D5F-1D8B-425D-976D-F5500AD5975A}" sibTransId="{69C1BE28-DD12-4AFA-974B-DE262BF2F964}"/>
    <dgm:cxn modelId="{535C61A6-2A88-421C-B57B-3233DCCA7BE8}" srcId="{61B41B6E-E706-4851-BAAA-0D2E6A6DA323}" destId="{EB5D5E34-6856-41E1-98D1-92C25DC63239}" srcOrd="0" destOrd="0" parTransId="{EF41CEDC-7947-4E35-AB64-B5B15372E1B3}" sibTransId="{F3433698-3AD9-4BC9-8B02-4347F33AE2B1}"/>
    <dgm:cxn modelId="{A51867AB-BD54-4D47-BFF7-FEFC189F447B}" type="presOf" srcId="{3656C892-9078-43DF-9DB4-B2F30DB3D84B}" destId="{80EBD3E0-9274-4943-B4F3-4BAD315FF1C8}" srcOrd="0" destOrd="0" presId="urn:microsoft.com/office/officeart/2017/3/layout/DropPinTimeline"/>
    <dgm:cxn modelId="{AE59DACA-5EF7-42AD-9490-739D83B0A290}" type="presOf" srcId="{8223302B-8A16-417D-A18A-81F9FA05F74A}" destId="{80EBD3E0-9274-4943-B4F3-4BAD315FF1C8}" srcOrd="0" destOrd="1" presId="urn:microsoft.com/office/officeart/2017/3/layout/DropPinTimeline"/>
    <dgm:cxn modelId="{70EF8DD4-5D40-43C5-80F5-27088FD1A7D9}" type="presOf" srcId="{6D7123F4-12FF-459A-9815-2B2A47E04184}" destId="{24C10D8C-314A-4E60-B6B0-1E5086AF8241}" srcOrd="0" destOrd="1" presId="urn:microsoft.com/office/officeart/2017/3/layout/DropPinTimeline"/>
    <dgm:cxn modelId="{3166F4DF-E49D-478B-9CEE-2777B22CC02D}" type="presOf" srcId="{89C38AAE-77E0-4D04-92A3-A9FE9E113714}" destId="{D48ECBF0-BF5E-4F4C-BEBB-7B1DFB0E158F}" srcOrd="0" destOrd="0" presId="urn:microsoft.com/office/officeart/2017/3/layout/DropPinTimeline"/>
    <dgm:cxn modelId="{96A513F7-F56E-41A1-BF60-0602A524634C}" type="presOf" srcId="{19BD3E34-6D03-4D5A-8613-86D6A6283691}" destId="{C553DA49-5B91-4DDB-A52C-9086FB221A05}" srcOrd="0" destOrd="0" presId="urn:microsoft.com/office/officeart/2017/3/layout/DropPinTimeline"/>
    <dgm:cxn modelId="{62C4E1FA-FF01-4C16-BEE3-804330F947C9}" srcId="{89C38AAE-77E0-4D04-92A3-A9FE9E113714}" destId="{5702C0A2-4657-490F-AB5C-7716CA0B292A}" srcOrd="1" destOrd="0" parTransId="{68CA6B19-4354-4BBB-9DAA-5D7B4E242380}" sibTransId="{5DA568AA-3984-474B-87C6-5DD452AD90D1}"/>
    <dgm:cxn modelId="{1F84B380-6DC8-4E18-8289-8B9C71E1D7CD}" type="presParOf" srcId="{B1F2F1DA-9170-45CD-AB23-A799467BDC53}" destId="{DA095DE8-F9A3-40E1-8B84-EF793B99507A}" srcOrd="0" destOrd="0" presId="urn:microsoft.com/office/officeart/2017/3/layout/DropPinTimeline"/>
    <dgm:cxn modelId="{DD0F896B-2912-4B34-8F20-74D3DF664FB8}" type="presParOf" srcId="{B1F2F1DA-9170-45CD-AB23-A799467BDC53}" destId="{A8E8D86B-00C8-4E80-99AD-723BBD8F9EC4}" srcOrd="1" destOrd="0" presId="urn:microsoft.com/office/officeart/2017/3/layout/DropPinTimeline"/>
    <dgm:cxn modelId="{58F88198-BACA-4672-B18C-7ECE1DE36817}" type="presParOf" srcId="{A8E8D86B-00C8-4E80-99AD-723BBD8F9EC4}" destId="{132233D2-38AA-4788-B604-CEC944885CE2}" srcOrd="0" destOrd="0" presId="urn:microsoft.com/office/officeart/2017/3/layout/DropPinTimeline"/>
    <dgm:cxn modelId="{2563C651-C926-4009-AA7C-6B2E8C3B9BC2}" type="presParOf" srcId="{132233D2-38AA-4788-B604-CEC944885CE2}" destId="{892071EC-EAF3-40D0-8A85-AD3904426183}" srcOrd="0" destOrd="0" presId="urn:microsoft.com/office/officeart/2017/3/layout/DropPinTimeline"/>
    <dgm:cxn modelId="{037ED45D-4A12-47E3-948E-CD1ECFA64431}" type="presParOf" srcId="{132233D2-38AA-4788-B604-CEC944885CE2}" destId="{DB8BE09E-EC51-4EE2-BE60-52324109552B}" srcOrd="1" destOrd="0" presId="urn:microsoft.com/office/officeart/2017/3/layout/DropPinTimeline"/>
    <dgm:cxn modelId="{2A1557A5-2FF0-41BB-8EB4-07B983DE454D}" type="presParOf" srcId="{DB8BE09E-EC51-4EE2-BE60-52324109552B}" destId="{3403B9FF-17CF-4B68-BB83-C82F37730563}" srcOrd="0" destOrd="0" presId="urn:microsoft.com/office/officeart/2017/3/layout/DropPinTimeline"/>
    <dgm:cxn modelId="{9C96E122-58FD-4A06-949F-B89E137BE49C}" type="presParOf" srcId="{DB8BE09E-EC51-4EE2-BE60-52324109552B}" destId="{7A50ECD3-605C-442F-97FC-D68600032CFA}" srcOrd="1" destOrd="0" presId="urn:microsoft.com/office/officeart/2017/3/layout/DropPinTimeline"/>
    <dgm:cxn modelId="{DEF543C9-B562-4B25-9865-4E6EC60BD440}" type="presParOf" srcId="{132233D2-38AA-4788-B604-CEC944885CE2}" destId="{24C10D8C-314A-4E60-B6B0-1E5086AF8241}" srcOrd="2" destOrd="0" presId="urn:microsoft.com/office/officeart/2017/3/layout/DropPinTimeline"/>
    <dgm:cxn modelId="{DB487E03-C337-4B62-ABB8-67DDCAD837FF}" type="presParOf" srcId="{132233D2-38AA-4788-B604-CEC944885CE2}" destId="{06B2E776-DA5C-4D7F-97F2-56D4770AD4DC}" srcOrd="3" destOrd="0" presId="urn:microsoft.com/office/officeart/2017/3/layout/DropPinTimeline"/>
    <dgm:cxn modelId="{7E03B188-CB63-4878-A8C8-797BD81AB026}" type="presParOf" srcId="{132233D2-38AA-4788-B604-CEC944885CE2}" destId="{C29F99BD-AEAE-4407-B8E4-CD18C282CA15}" srcOrd="4" destOrd="0" presId="urn:microsoft.com/office/officeart/2017/3/layout/DropPinTimeline"/>
    <dgm:cxn modelId="{BEA0665A-CEE5-4561-9BCB-784DBA395068}" type="presParOf" srcId="{132233D2-38AA-4788-B604-CEC944885CE2}" destId="{CABB78D6-1536-4847-9BBB-B7C45A1B001C}" srcOrd="5" destOrd="0" presId="urn:microsoft.com/office/officeart/2017/3/layout/DropPinTimeline"/>
    <dgm:cxn modelId="{F9C5370E-61EF-4B8D-8FE8-1D940DC25094}" type="presParOf" srcId="{A8E8D86B-00C8-4E80-99AD-723BBD8F9EC4}" destId="{78B0128E-92A5-4C61-85EE-900DC204BEF7}" srcOrd="1" destOrd="0" presId="urn:microsoft.com/office/officeart/2017/3/layout/DropPinTimeline"/>
    <dgm:cxn modelId="{FF8F05EE-2E7F-4ECE-BB58-EEF42B291751}" type="presParOf" srcId="{A8E8D86B-00C8-4E80-99AD-723BBD8F9EC4}" destId="{266BBE4F-33B1-419F-A7C1-A7D6A3740AAB}" srcOrd="2" destOrd="0" presId="urn:microsoft.com/office/officeart/2017/3/layout/DropPinTimeline"/>
    <dgm:cxn modelId="{69952D21-08B8-4090-B36C-E8749225F016}" type="presParOf" srcId="{266BBE4F-33B1-419F-A7C1-A7D6A3740AAB}" destId="{E91B32C5-7A88-4B22-8A1A-A24F567D35EF}" srcOrd="0" destOrd="0" presId="urn:microsoft.com/office/officeart/2017/3/layout/DropPinTimeline"/>
    <dgm:cxn modelId="{541EA9F4-4F80-492C-B0DC-BE77255EB47F}" type="presParOf" srcId="{266BBE4F-33B1-419F-A7C1-A7D6A3740AAB}" destId="{1A167933-7F8E-4D5B-A3D5-04124AEE59EB}" srcOrd="1" destOrd="0" presId="urn:microsoft.com/office/officeart/2017/3/layout/DropPinTimeline"/>
    <dgm:cxn modelId="{6ED91417-AA0A-4839-8803-F44AF7E7FD90}" type="presParOf" srcId="{1A167933-7F8E-4D5B-A3D5-04124AEE59EB}" destId="{642C3C2D-2135-49EE-85E6-9D232B1856EE}" srcOrd="0" destOrd="0" presId="urn:microsoft.com/office/officeart/2017/3/layout/DropPinTimeline"/>
    <dgm:cxn modelId="{AFCAC7B6-C71F-44A8-80FB-8F73966E0683}" type="presParOf" srcId="{1A167933-7F8E-4D5B-A3D5-04124AEE59EB}" destId="{C64A5E0B-7A0B-45A4-B467-F1B83E2F6A56}" srcOrd="1" destOrd="0" presId="urn:microsoft.com/office/officeart/2017/3/layout/DropPinTimeline"/>
    <dgm:cxn modelId="{D07DCB31-BB5F-43FD-99F0-C8E4A8F60DD5}" type="presParOf" srcId="{266BBE4F-33B1-419F-A7C1-A7D6A3740AAB}" destId="{BCED990D-EE8B-465E-A3A9-A38637BB38BE}" srcOrd="2" destOrd="0" presId="urn:microsoft.com/office/officeart/2017/3/layout/DropPinTimeline"/>
    <dgm:cxn modelId="{7857E1C3-7582-4013-A7EF-F1A99FA38AEE}" type="presParOf" srcId="{266BBE4F-33B1-419F-A7C1-A7D6A3740AAB}" destId="{D48ECBF0-BF5E-4F4C-BEBB-7B1DFB0E158F}" srcOrd="3" destOrd="0" presId="urn:microsoft.com/office/officeart/2017/3/layout/DropPinTimeline"/>
    <dgm:cxn modelId="{E128524A-403F-48ED-85CB-36D049B5F482}" type="presParOf" srcId="{266BBE4F-33B1-419F-A7C1-A7D6A3740AAB}" destId="{8BC7690D-7CB6-4DE4-B337-6107980C25B0}" srcOrd="4" destOrd="0" presId="urn:microsoft.com/office/officeart/2017/3/layout/DropPinTimeline"/>
    <dgm:cxn modelId="{608B7AA8-2142-4FD2-BEC2-B72380DD835D}" type="presParOf" srcId="{266BBE4F-33B1-419F-A7C1-A7D6A3740AAB}" destId="{8403AB90-CCE1-4B38-88C7-53FC66150EAF}" srcOrd="5" destOrd="0" presId="urn:microsoft.com/office/officeart/2017/3/layout/DropPinTimeline"/>
    <dgm:cxn modelId="{21E6F4B8-137A-4B20-917B-67079FF048B3}" type="presParOf" srcId="{A8E8D86B-00C8-4E80-99AD-723BBD8F9EC4}" destId="{BCFCEF64-D83F-4FE3-8A8B-763B4631CF3A}" srcOrd="3" destOrd="0" presId="urn:microsoft.com/office/officeart/2017/3/layout/DropPinTimeline"/>
    <dgm:cxn modelId="{B2D904C9-CC83-4890-9344-660E921AA42B}" type="presParOf" srcId="{A8E8D86B-00C8-4E80-99AD-723BBD8F9EC4}" destId="{3869A8C8-F404-44C9-BE01-7A08600B68DE}" srcOrd="4" destOrd="0" presId="urn:microsoft.com/office/officeart/2017/3/layout/DropPinTimeline"/>
    <dgm:cxn modelId="{F9ECC785-95AC-43C9-A98A-872B7BDCB916}" type="presParOf" srcId="{3869A8C8-F404-44C9-BE01-7A08600B68DE}" destId="{2C421BBC-6C0C-4982-BAAE-A8B45E04650A}" srcOrd="0" destOrd="0" presId="urn:microsoft.com/office/officeart/2017/3/layout/DropPinTimeline"/>
    <dgm:cxn modelId="{F11FB92C-26E5-4677-A897-4BDA87B0082E}" type="presParOf" srcId="{3869A8C8-F404-44C9-BE01-7A08600B68DE}" destId="{662F9D2F-169E-4E3E-9242-5AB652C16104}" srcOrd="1" destOrd="0" presId="urn:microsoft.com/office/officeart/2017/3/layout/DropPinTimeline"/>
    <dgm:cxn modelId="{1BD247B6-2EFD-499B-B536-FE4E5F9057FB}" type="presParOf" srcId="{662F9D2F-169E-4E3E-9242-5AB652C16104}" destId="{4402B34F-5283-417E-91E4-E66CEE0F872B}" srcOrd="0" destOrd="0" presId="urn:microsoft.com/office/officeart/2017/3/layout/DropPinTimeline"/>
    <dgm:cxn modelId="{C39DFC72-EFF3-4355-8325-F95EF47A3CC9}" type="presParOf" srcId="{662F9D2F-169E-4E3E-9242-5AB652C16104}" destId="{9064D01D-BEF3-4F2C-B0FE-483EB1435925}" srcOrd="1" destOrd="0" presId="urn:microsoft.com/office/officeart/2017/3/layout/DropPinTimeline"/>
    <dgm:cxn modelId="{C6DAE68B-A533-4199-868F-8483255EBB99}" type="presParOf" srcId="{3869A8C8-F404-44C9-BE01-7A08600B68DE}" destId="{80EBD3E0-9274-4943-B4F3-4BAD315FF1C8}" srcOrd="2" destOrd="0" presId="urn:microsoft.com/office/officeart/2017/3/layout/DropPinTimeline"/>
    <dgm:cxn modelId="{CF3A4C41-3841-4214-9B27-160484925BF0}" type="presParOf" srcId="{3869A8C8-F404-44C9-BE01-7A08600B68DE}" destId="{C553DA49-5B91-4DDB-A52C-9086FB221A05}" srcOrd="3" destOrd="0" presId="urn:microsoft.com/office/officeart/2017/3/layout/DropPinTimeline"/>
    <dgm:cxn modelId="{9FC7266D-F5DC-4614-AD94-1934F24D1BEC}" type="presParOf" srcId="{3869A8C8-F404-44C9-BE01-7A08600B68DE}" destId="{FACCC1AA-CD2F-4D01-A501-4B5252FB01C8}" srcOrd="4" destOrd="0" presId="urn:microsoft.com/office/officeart/2017/3/layout/DropPinTimeline"/>
    <dgm:cxn modelId="{44B0A539-8757-47C3-9D90-4938DF8419B0}" type="presParOf" srcId="{3869A8C8-F404-44C9-BE01-7A08600B68DE}" destId="{81035508-C14E-476D-9451-236ECF0EA4EA}" srcOrd="5" destOrd="0" presId="urn:microsoft.com/office/officeart/2017/3/layout/DropPinTimeline"/>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2E3943C-550C-4F6F-BE7B-28D674E0291E}" type="doc">
      <dgm:prSet loTypeId="urn:microsoft.com/office/officeart/2017/3/layout/DropPinTimeline" loCatId="process" qsTypeId="urn:microsoft.com/office/officeart/2005/8/quickstyle/simple1" qsCatId="simple" csTypeId="urn:microsoft.com/office/officeart/2005/8/colors/colorful2" csCatId="colorful" phldr="1"/>
      <dgm:spPr/>
      <dgm:t>
        <a:bodyPr/>
        <a:lstStyle/>
        <a:p>
          <a:endParaRPr lang="en-US"/>
        </a:p>
      </dgm:t>
    </dgm:pt>
    <dgm:pt modelId="{61B41B6E-E706-4851-BAAA-0D2E6A6DA323}">
      <dgm:prSet/>
      <dgm:spPr/>
      <dgm:t>
        <a:bodyPr/>
        <a:lstStyle/>
        <a:p>
          <a:pPr>
            <a:defRPr b="1"/>
          </a:pPr>
          <a:r>
            <a:rPr lang="en-US" b="1"/>
            <a:t>2022</a:t>
          </a:r>
        </a:p>
      </dgm:t>
    </dgm:pt>
    <dgm:pt modelId="{3654D46F-4E7B-4D26-A3B4-493364D24DD3}" type="parTrans" cxnId="{20B0AF11-49C5-4F4F-A65D-71C5D66C8431}">
      <dgm:prSet/>
      <dgm:spPr/>
      <dgm:t>
        <a:bodyPr/>
        <a:lstStyle/>
        <a:p>
          <a:endParaRPr lang="en-US" b="1"/>
        </a:p>
      </dgm:t>
    </dgm:pt>
    <dgm:pt modelId="{211A6A6F-A225-4A27-89FF-F6DCDB3681C0}" type="sibTrans" cxnId="{20B0AF11-49C5-4F4F-A65D-71C5D66C8431}">
      <dgm:prSet/>
      <dgm:spPr/>
      <dgm:t>
        <a:bodyPr/>
        <a:lstStyle/>
        <a:p>
          <a:endParaRPr lang="en-US" b="1"/>
        </a:p>
      </dgm:t>
    </dgm:pt>
    <dgm:pt modelId="{89C38AAE-77E0-4D04-92A3-A9FE9E113714}">
      <dgm:prSet/>
      <dgm:spPr/>
      <dgm:t>
        <a:bodyPr/>
        <a:lstStyle/>
        <a:p>
          <a:pPr>
            <a:defRPr b="1"/>
          </a:pPr>
          <a:r>
            <a:rPr lang="en-US" b="1" dirty="0"/>
            <a:t>2023</a:t>
          </a:r>
        </a:p>
      </dgm:t>
    </dgm:pt>
    <dgm:pt modelId="{BB778D5F-1D8B-425D-976D-F5500AD5975A}" type="parTrans" cxnId="{B71B82A5-E2E4-4469-9175-BBF3992ABBDB}">
      <dgm:prSet/>
      <dgm:spPr/>
      <dgm:t>
        <a:bodyPr/>
        <a:lstStyle/>
        <a:p>
          <a:endParaRPr lang="en-US" b="1"/>
        </a:p>
      </dgm:t>
    </dgm:pt>
    <dgm:pt modelId="{69C1BE28-DD12-4AFA-974B-DE262BF2F964}" type="sibTrans" cxnId="{B71B82A5-E2E4-4469-9175-BBF3992ABBDB}">
      <dgm:prSet/>
      <dgm:spPr/>
      <dgm:t>
        <a:bodyPr/>
        <a:lstStyle/>
        <a:p>
          <a:endParaRPr lang="en-US" b="1"/>
        </a:p>
      </dgm:t>
    </dgm:pt>
    <dgm:pt modelId="{19BD3E34-6D03-4D5A-8613-86D6A6283691}">
      <dgm:prSet/>
      <dgm:spPr/>
      <dgm:t>
        <a:bodyPr/>
        <a:lstStyle/>
        <a:p>
          <a:pPr>
            <a:defRPr b="1"/>
          </a:pPr>
          <a:r>
            <a:rPr lang="en-US" b="1" dirty="0"/>
            <a:t>2024</a:t>
          </a:r>
        </a:p>
      </dgm:t>
    </dgm:pt>
    <dgm:pt modelId="{1658CD73-A100-431E-9375-7575E64D9AC9}" type="parTrans" cxnId="{24884A53-4A5A-4E68-84A6-4E31A6B7790A}">
      <dgm:prSet/>
      <dgm:spPr/>
      <dgm:t>
        <a:bodyPr/>
        <a:lstStyle/>
        <a:p>
          <a:endParaRPr lang="en-AU" b="1"/>
        </a:p>
      </dgm:t>
    </dgm:pt>
    <dgm:pt modelId="{DF95BDC6-D513-4DAA-8754-F249FB2067D7}" type="sibTrans" cxnId="{24884A53-4A5A-4E68-84A6-4E31A6B7790A}">
      <dgm:prSet/>
      <dgm:spPr/>
      <dgm:t>
        <a:bodyPr/>
        <a:lstStyle/>
        <a:p>
          <a:endParaRPr lang="en-AU" b="1"/>
        </a:p>
      </dgm:t>
    </dgm:pt>
    <dgm:pt modelId="{BA80EEA1-DEDC-49F4-8FB7-CE3B4F958DA3}">
      <dgm:prSet/>
      <dgm:spPr/>
      <dgm:t>
        <a:bodyPr/>
        <a:lstStyle/>
        <a:p>
          <a:r>
            <a:rPr lang="en-US" b="1"/>
            <a:t>Total Shares Issued - 821.3m</a:t>
          </a:r>
          <a:endParaRPr lang="en-US" b="1" dirty="0"/>
        </a:p>
      </dgm:t>
    </dgm:pt>
    <dgm:pt modelId="{9D944268-3E85-4DE9-A1F7-12B0C3519B5A}" type="parTrans" cxnId="{81FCF467-8B20-44A1-88BB-01D194B54D0D}">
      <dgm:prSet/>
      <dgm:spPr/>
      <dgm:t>
        <a:bodyPr/>
        <a:lstStyle/>
        <a:p>
          <a:endParaRPr lang="en-AU" b="1"/>
        </a:p>
      </dgm:t>
    </dgm:pt>
    <dgm:pt modelId="{6B0E6CCC-493A-412A-9F55-980C3F6A2305}" type="sibTrans" cxnId="{81FCF467-8B20-44A1-88BB-01D194B54D0D}">
      <dgm:prSet/>
      <dgm:spPr/>
      <dgm:t>
        <a:bodyPr/>
        <a:lstStyle/>
        <a:p>
          <a:endParaRPr lang="en-AU" b="1"/>
        </a:p>
      </dgm:t>
    </dgm:pt>
    <dgm:pt modelId="{3656C892-9078-43DF-9DB4-B2F30DB3D84B}">
      <dgm:prSet/>
      <dgm:spPr/>
      <dgm:t>
        <a:bodyPr/>
        <a:lstStyle/>
        <a:p>
          <a:r>
            <a:rPr lang="en-US" b="1"/>
            <a:t>Total Shares Issued - 831.8m</a:t>
          </a:r>
          <a:endParaRPr lang="en-US" b="1" dirty="0"/>
        </a:p>
      </dgm:t>
    </dgm:pt>
    <dgm:pt modelId="{AC25BF9D-9410-4919-9C70-5A8F5A976DFB}" type="parTrans" cxnId="{D7DD2153-F9FE-4508-9F52-F08F276D941C}">
      <dgm:prSet/>
      <dgm:spPr/>
      <dgm:t>
        <a:bodyPr/>
        <a:lstStyle/>
        <a:p>
          <a:endParaRPr lang="en-AU" b="1"/>
        </a:p>
      </dgm:t>
    </dgm:pt>
    <dgm:pt modelId="{DBE6A69B-7C7B-44F8-B15E-FF3AC03907BA}" type="sibTrans" cxnId="{D7DD2153-F9FE-4508-9F52-F08F276D941C}">
      <dgm:prSet/>
      <dgm:spPr/>
      <dgm:t>
        <a:bodyPr/>
        <a:lstStyle/>
        <a:p>
          <a:endParaRPr lang="en-AU" b="1"/>
        </a:p>
      </dgm:t>
    </dgm:pt>
    <dgm:pt modelId="{16D7E49C-4EEB-4EF3-92F6-60FCB6ED022E}">
      <dgm:prSet/>
      <dgm:spPr/>
      <dgm:t>
        <a:bodyPr/>
        <a:lstStyle/>
        <a:p>
          <a:r>
            <a:rPr lang="en-US" b="1"/>
            <a:t>Total Shares Issued - 821.3m</a:t>
          </a:r>
        </a:p>
      </dgm:t>
    </dgm:pt>
    <dgm:pt modelId="{59E1A8A2-D9AE-4A39-9152-52AC9F0D9B73}" type="parTrans" cxnId="{527B534A-CDF9-48D2-89D1-1531F5CDC7E7}">
      <dgm:prSet/>
      <dgm:spPr/>
      <dgm:t>
        <a:bodyPr/>
        <a:lstStyle/>
        <a:p>
          <a:endParaRPr lang="en-AU" b="1"/>
        </a:p>
      </dgm:t>
    </dgm:pt>
    <dgm:pt modelId="{F9AE1B75-584B-455C-AB48-BBA6709F8F04}" type="sibTrans" cxnId="{527B534A-CDF9-48D2-89D1-1531F5CDC7E7}">
      <dgm:prSet/>
      <dgm:spPr/>
      <dgm:t>
        <a:bodyPr/>
        <a:lstStyle/>
        <a:p>
          <a:endParaRPr lang="en-AU" b="1"/>
        </a:p>
      </dgm:t>
    </dgm:pt>
    <dgm:pt modelId="{7BC44BD8-FD14-4D63-ACD4-4CD28D7E59D5}">
      <dgm:prSet/>
      <dgm:spPr/>
      <dgm:t>
        <a:bodyPr/>
        <a:lstStyle/>
        <a:p>
          <a:r>
            <a:rPr lang="en-US" b="1" dirty="0"/>
            <a:t>Dividends - 9c/share</a:t>
          </a:r>
        </a:p>
      </dgm:t>
    </dgm:pt>
    <dgm:pt modelId="{B4ED44CE-8E12-4E79-9BA0-1D3F21B3B24A}" type="parTrans" cxnId="{C937F6F9-01F8-479B-987A-779BC28732CE}">
      <dgm:prSet/>
      <dgm:spPr/>
      <dgm:t>
        <a:bodyPr/>
        <a:lstStyle/>
        <a:p>
          <a:endParaRPr lang="en-AU" b="1"/>
        </a:p>
      </dgm:t>
    </dgm:pt>
    <dgm:pt modelId="{05E7ADB0-28F0-4405-AB5A-58DDC464A1B4}" type="sibTrans" cxnId="{C937F6F9-01F8-479B-987A-779BC28732CE}">
      <dgm:prSet/>
      <dgm:spPr/>
      <dgm:t>
        <a:bodyPr/>
        <a:lstStyle/>
        <a:p>
          <a:endParaRPr lang="en-AU" b="1"/>
        </a:p>
      </dgm:t>
    </dgm:pt>
    <dgm:pt modelId="{8669C823-785C-4A29-9A5C-FE0B6C5B0B0C}">
      <dgm:prSet/>
      <dgm:spPr/>
      <dgm:t>
        <a:bodyPr/>
        <a:lstStyle/>
        <a:p>
          <a:r>
            <a:rPr lang="en-US" b="1" dirty="0"/>
            <a:t>Dividends - 3.5c/share</a:t>
          </a:r>
        </a:p>
      </dgm:t>
    </dgm:pt>
    <dgm:pt modelId="{0CEF224A-F733-451D-A19C-8CDD1C805D84}" type="parTrans" cxnId="{4C2491CA-703B-4ED4-8399-59A71648FE31}">
      <dgm:prSet/>
      <dgm:spPr/>
      <dgm:t>
        <a:bodyPr/>
        <a:lstStyle/>
        <a:p>
          <a:endParaRPr lang="en-AU" b="1"/>
        </a:p>
      </dgm:t>
    </dgm:pt>
    <dgm:pt modelId="{2068BEC2-9126-4175-8AEA-05A276A39244}" type="sibTrans" cxnId="{4C2491CA-703B-4ED4-8399-59A71648FE31}">
      <dgm:prSet/>
      <dgm:spPr/>
      <dgm:t>
        <a:bodyPr/>
        <a:lstStyle/>
        <a:p>
          <a:endParaRPr lang="en-AU" b="1"/>
        </a:p>
      </dgm:t>
    </dgm:pt>
    <dgm:pt modelId="{C06EAA9B-1E84-4A5D-B003-BB56C608E385}">
      <dgm:prSet/>
      <dgm:spPr/>
      <dgm:t>
        <a:bodyPr/>
        <a:lstStyle/>
        <a:p>
          <a:r>
            <a:rPr lang="en-US" b="1"/>
            <a:t>Dividends - 4c/share</a:t>
          </a:r>
        </a:p>
      </dgm:t>
    </dgm:pt>
    <dgm:pt modelId="{ED2442AD-E9AA-4BFA-AD90-067028CD60E1}" type="parTrans" cxnId="{A7146D97-7F53-4F42-821D-347E1C010C0D}">
      <dgm:prSet/>
      <dgm:spPr/>
      <dgm:t>
        <a:bodyPr/>
        <a:lstStyle/>
        <a:p>
          <a:endParaRPr lang="en-AU" b="1"/>
        </a:p>
      </dgm:t>
    </dgm:pt>
    <dgm:pt modelId="{EFCD3401-7179-4648-A871-03C7E4436505}" type="sibTrans" cxnId="{A7146D97-7F53-4F42-821D-347E1C010C0D}">
      <dgm:prSet/>
      <dgm:spPr/>
      <dgm:t>
        <a:bodyPr/>
        <a:lstStyle/>
        <a:p>
          <a:endParaRPr lang="en-AU" b="1"/>
        </a:p>
      </dgm:t>
    </dgm:pt>
    <dgm:pt modelId="{B1F2F1DA-9170-45CD-AB23-A799467BDC53}" type="pres">
      <dgm:prSet presAssocID="{C2E3943C-550C-4F6F-BE7B-28D674E0291E}" presName="root" presStyleCnt="0">
        <dgm:presLayoutVars>
          <dgm:chMax/>
          <dgm:chPref/>
          <dgm:animLvl val="lvl"/>
        </dgm:presLayoutVars>
      </dgm:prSet>
      <dgm:spPr/>
    </dgm:pt>
    <dgm:pt modelId="{DA095DE8-F9A3-40E1-8B84-EF793B99507A}" type="pres">
      <dgm:prSet presAssocID="{C2E3943C-550C-4F6F-BE7B-28D674E0291E}" presName="divider" presStyleLbl="fgAcc1" presStyleIdx="0" presStyleCnt="4"/>
      <dgm:spPr>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gm:spPr>
    </dgm:pt>
    <dgm:pt modelId="{A8E8D86B-00C8-4E80-99AD-723BBD8F9EC4}" type="pres">
      <dgm:prSet presAssocID="{C2E3943C-550C-4F6F-BE7B-28D674E0291E}" presName="nodes" presStyleCnt="0">
        <dgm:presLayoutVars>
          <dgm:chMax/>
          <dgm:chPref/>
          <dgm:animLvl val="lvl"/>
        </dgm:presLayoutVars>
      </dgm:prSet>
      <dgm:spPr/>
    </dgm:pt>
    <dgm:pt modelId="{132233D2-38AA-4788-B604-CEC944885CE2}" type="pres">
      <dgm:prSet presAssocID="{61B41B6E-E706-4851-BAAA-0D2E6A6DA323}" presName="composite" presStyleCnt="0"/>
      <dgm:spPr/>
    </dgm:pt>
    <dgm:pt modelId="{892071EC-EAF3-40D0-8A85-AD3904426183}" type="pres">
      <dgm:prSet presAssocID="{61B41B6E-E706-4851-BAAA-0D2E6A6DA323}" presName="ConnectorPoint" presStyleLbl="lnNode1" presStyleIdx="0" presStyleCnt="3"/>
      <dgm:spPr>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gm:spPr>
    </dgm:pt>
    <dgm:pt modelId="{DB8BE09E-EC51-4EE2-BE60-52324109552B}" type="pres">
      <dgm:prSet presAssocID="{61B41B6E-E706-4851-BAAA-0D2E6A6DA323}" presName="DropPinPlaceHolder" presStyleCnt="0"/>
      <dgm:spPr/>
    </dgm:pt>
    <dgm:pt modelId="{3403B9FF-17CF-4B68-BB83-C82F37730563}" type="pres">
      <dgm:prSet presAssocID="{61B41B6E-E706-4851-BAAA-0D2E6A6DA323}" presName="DropPin" presStyleLbl="alignNode1" presStyleIdx="0" presStyleCnt="3"/>
      <dgm:spPr/>
    </dgm:pt>
    <dgm:pt modelId="{7A50ECD3-605C-442F-97FC-D68600032CFA}" type="pres">
      <dgm:prSet presAssocID="{61B41B6E-E706-4851-BAAA-0D2E6A6DA323}" presName="Ellipse" presStyleLbl="fgAcc1" presStyleIdx="1" presStyleCnt="4"/>
      <dgm:spPr>
        <a:solidFill>
          <a:schemeClr val="lt1">
            <a:alpha val="90000"/>
            <a:hueOff val="0"/>
            <a:satOff val="0"/>
            <a:lumOff val="0"/>
            <a:alphaOff val="0"/>
          </a:schemeClr>
        </a:solidFill>
        <a:ln w="19050" cap="flat" cmpd="sng" algn="ctr">
          <a:noFill/>
          <a:prstDash val="solid"/>
          <a:miter lim="800000"/>
        </a:ln>
        <a:effectLst/>
      </dgm:spPr>
    </dgm:pt>
    <dgm:pt modelId="{24C10D8C-314A-4E60-B6B0-1E5086AF8241}" type="pres">
      <dgm:prSet presAssocID="{61B41B6E-E706-4851-BAAA-0D2E6A6DA323}" presName="L2TextContainer" presStyleLbl="revTx" presStyleIdx="0" presStyleCnt="6">
        <dgm:presLayoutVars>
          <dgm:bulletEnabled val="1"/>
        </dgm:presLayoutVars>
      </dgm:prSet>
      <dgm:spPr/>
    </dgm:pt>
    <dgm:pt modelId="{06B2E776-DA5C-4D7F-97F2-56D4770AD4DC}" type="pres">
      <dgm:prSet presAssocID="{61B41B6E-E706-4851-BAAA-0D2E6A6DA323}" presName="L1TextContainer" presStyleLbl="revTx" presStyleIdx="1" presStyleCnt="6">
        <dgm:presLayoutVars>
          <dgm:chMax val="1"/>
          <dgm:chPref val="1"/>
          <dgm:bulletEnabled val="1"/>
        </dgm:presLayoutVars>
      </dgm:prSet>
      <dgm:spPr/>
    </dgm:pt>
    <dgm:pt modelId="{C29F99BD-AEAE-4407-B8E4-CD18C282CA15}" type="pres">
      <dgm:prSet presAssocID="{61B41B6E-E706-4851-BAAA-0D2E6A6DA323}" presName="ConnectLine" presStyleLbl="sibTrans1D1" presStyleIdx="0" presStyleCnt="3"/>
      <dgm:spPr>
        <a:noFill/>
        <a:ln w="12700" cap="flat" cmpd="sng" algn="ctr">
          <a:solidFill>
            <a:schemeClr val="accent2">
              <a:hueOff val="0"/>
              <a:satOff val="0"/>
              <a:lumOff val="0"/>
              <a:alphaOff val="0"/>
            </a:schemeClr>
          </a:solidFill>
          <a:prstDash val="dash"/>
          <a:miter lim="800000"/>
        </a:ln>
        <a:effectLst/>
      </dgm:spPr>
    </dgm:pt>
    <dgm:pt modelId="{CABB78D6-1536-4847-9BBB-B7C45A1B001C}" type="pres">
      <dgm:prSet presAssocID="{61B41B6E-E706-4851-BAAA-0D2E6A6DA323}" presName="EmptyPlaceHolder" presStyleCnt="0"/>
      <dgm:spPr/>
    </dgm:pt>
    <dgm:pt modelId="{78B0128E-92A5-4C61-85EE-900DC204BEF7}" type="pres">
      <dgm:prSet presAssocID="{211A6A6F-A225-4A27-89FF-F6DCDB3681C0}" presName="spaceBetweenRectangles" presStyleCnt="0"/>
      <dgm:spPr/>
    </dgm:pt>
    <dgm:pt modelId="{266BBE4F-33B1-419F-A7C1-A7D6A3740AAB}" type="pres">
      <dgm:prSet presAssocID="{89C38AAE-77E0-4D04-92A3-A9FE9E113714}" presName="composite" presStyleCnt="0"/>
      <dgm:spPr/>
    </dgm:pt>
    <dgm:pt modelId="{E91B32C5-7A88-4B22-8A1A-A24F567D35EF}" type="pres">
      <dgm:prSet presAssocID="{89C38AAE-77E0-4D04-92A3-A9FE9E113714}" presName="ConnectorPoint" presStyleLbl="lnNode1" presStyleIdx="1" presStyleCnt="3"/>
      <dgm:spPr>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gm:spPr>
    </dgm:pt>
    <dgm:pt modelId="{1A167933-7F8E-4D5B-A3D5-04124AEE59EB}" type="pres">
      <dgm:prSet presAssocID="{89C38AAE-77E0-4D04-92A3-A9FE9E113714}" presName="DropPinPlaceHolder" presStyleCnt="0"/>
      <dgm:spPr/>
    </dgm:pt>
    <dgm:pt modelId="{642C3C2D-2135-49EE-85E6-9D232B1856EE}" type="pres">
      <dgm:prSet presAssocID="{89C38AAE-77E0-4D04-92A3-A9FE9E113714}" presName="DropPin" presStyleLbl="alignNode1" presStyleIdx="1" presStyleCnt="3"/>
      <dgm:spPr/>
    </dgm:pt>
    <dgm:pt modelId="{C64A5E0B-7A0B-45A4-B467-F1B83E2F6A56}" type="pres">
      <dgm:prSet presAssocID="{89C38AAE-77E0-4D04-92A3-A9FE9E113714}" presName="Ellipse" presStyleLbl="fgAcc1" presStyleIdx="2" presStyleCnt="4"/>
      <dgm:spPr>
        <a:solidFill>
          <a:schemeClr val="lt1">
            <a:alpha val="90000"/>
            <a:hueOff val="0"/>
            <a:satOff val="0"/>
            <a:lumOff val="0"/>
            <a:alphaOff val="0"/>
          </a:schemeClr>
        </a:solidFill>
        <a:ln w="19050" cap="flat" cmpd="sng" algn="ctr">
          <a:noFill/>
          <a:prstDash val="solid"/>
          <a:miter lim="800000"/>
        </a:ln>
        <a:effectLst/>
      </dgm:spPr>
    </dgm:pt>
    <dgm:pt modelId="{BCED990D-EE8B-465E-A3A9-A38637BB38BE}" type="pres">
      <dgm:prSet presAssocID="{89C38AAE-77E0-4D04-92A3-A9FE9E113714}" presName="L2TextContainer" presStyleLbl="revTx" presStyleIdx="2" presStyleCnt="6">
        <dgm:presLayoutVars>
          <dgm:bulletEnabled val="1"/>
        </dgm:presLayoutVars>
      </dgm:prSet>
      <dgm:spPr/>
    </dgm:pt>
    <dgm:pt modelId="{D48ECBF0-BF5E-4F4C-BEBB-7B1DFB0E158F}" type="pres">
      <dgm:prSet presAssocID="{89C38AAE-77E0-4D04-92A3-A9FE9E113714}" presName="L1TextContainer" presStyleLbl="revTx" presStyleIdx="3" presStyleCnt="6">
        <dgm:presLayoutVars>
          <dgm:chMax val="1"/>
          <dgm:chPref val="1"/>
          <dgm:bulletEnabled val="1"/>
        </dgm:presLayoutVars>
      </dgm:prSet>
      <dgm:spPr/>
    </dgm:pt>
    <dgm:pt modelId="{8BC7690D-7CB6-4DE4-B337-6107980C25B0}" type="pres">
      <dgm:prSet presAssocID="{89C38AAE-77E0-4D04-92A3-A9FE9E113714}" presName="ConnectLine" presStyleLbl="sibTrans1D1" presStyleIdx="1" presStyleCnt="3"/>
      <dgm:spPr>
        <a:noFill/>
        <a:ln w="12700" cap="flat" cmpd="sng" algn="ctr">
          <a:solidFill>
            <a:schemeClr val="accent2">
              <a:hueOff val="-5184504"/>
              <a:satOff val="-10204"/>
              <a:lumOff val="6372"/>
              <a:alphaOff val="0"/>
            </a:schemeClr>
          </a:solidFill>
          <a:prstDash val="dash"/>
          <a:miter lim="800000"/>
        </a:ln>
        <a:effectLst/>
      </dgm:spPr>
    </dgm:pt>
    <dgm:pt modelId="{8403AB90-CCE1-4B38-88C7-53FC66150EAF}" type="pres">
      <dgm:prSet presAssocID="{89C38AAE-77E0-4D04-92A3-A9FE9E113714}" presName="EmptyPlaceHolder" presStyleCnt="0"/>
      <dgm:spPr/>
    </dgm:pt>
    <dgm:pt modelId="{BCFCEF64-D83F-4FE3-8A8B-763B4631CF3A}" type="pres">
      <dgm:prSet presAssocID="{69C1BE28-DD12-4AFA-974B-DE262BF2F964}" presName="spaceBetweenRectangles" presStyleCnt="0"/>
      <dgm:spPr/>
    </dgm:pt>
    <dgm:pt modelId="{3869A8C8-F404-44C9-BE01-7A08600B68DE}" type="pres">
      <dgm:prSet presAssocID="{19BD3E34-6D03-4D5A-8613-86D6A6283691}" presName="composite" presStyleCnt="0"/>
      <dgm:spPr/>
    </dgm:pt>
    <dgm:pt modelId="{2C421BBC-6C0C-4982-BAAE-A8B45E04650A}" type="pres">
      <dgm:prSet presAssocID="{19BD3E34-6D03-4D5A-8613-86D6A6283691}" presName="ConnectorPoint" presStyleLbl="lnNode1" presStyleIdx="2" presStyleCnt="3"/>
      <dgm:spPr>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gm:spPr>
    </dgm:pt>
    <dgm:pt modelId="{662F9D2F-169E-4E3E-9242-5AB652C16104}" type="pres">
      <dgm:prSet presAssocID="{19BD3E34-6D03-4D5A-8613-86D6A6283691}" presName="DropPinPlaceHolder" presStyleCnt="0"/>
      <dgm:spPr/>
    </dgm:pt>
    <dgm:pt modelId="{4402B34F-5283-417E-91E4-E66CEE0F872B}" type="pres">
      <dgm:prSet presAssocID="{19BD3E34-6D03-4D5A-8613-86D6A6283691}" presName="DropPin" presStyleLbl="alignNode1" presStyleIdx="2" presStyleCnt="3"/>
      <dgm:spPr/>
    </dgm:pt>
    <dgm:pt modelId="{9064D01D-BEF3-4F2C-B0FE-483EB1435925}" type="pres">
      <dgm:prSet presAssocID="{19BD3E34-6D03-4D5A-8613-86D6A6283691}" presName="Ellipse" presStyleLbl="fgAcc1" presStyleIdx="3" presStyleCnt="4"/>
      <dgm:spPr>
        <a:solidFill>
          <a:schemeClr val="lt1">
            <a:alpha val="90000"/>
            <a:hueOff val="0"/>
            <a:satOff val="0"/>
            <a:lumOff val="0"/>
            <a:alphaOff val="0"/>
          </a:schemeClr>
        </a:solidFill>
        <a:ln w="19050" cap="flat" cmpd="sng" algn="ctr">
          <a:noFill/>
          <a:prstDash val="solid"/>
          <a:miter lim="800000"/>
        </a:ln>
        <a:effectLst/>
      </dgm:spPr>
    </dgm:pt>
    <dgm:pt modelId="{80EBD3E0-9274-4943-B4F3-4BAD315FF1C8}" type="pres">
      <dgm:prSet presAssocID="{19BD3E34-6D03-4D5A-8613-86D6A6283691}" presName="L2TextContainer" presStyleLbl="revTx" presStyleIdx="4" presStyleCnt="6">
        <dgm:presLayoutVars>
          <dgm:bulletEnabled val="1"/>
        </dgm:presLayoutVars>
      </dgm:prSet>
      <dgm:spPr/>
    </dgm:pt>
    <dgm:pt modelId="{C553DA49-5B91-4DDB-A52C-9086FB221A05}" type="pres">
      <dgm:prSet presAssocID="{19BD3E34-6D03-4D5A-8613-86D6A6283691}" presName="L1TextContainer" presStyleLbl="revTx" presStyleIdx="5" presStyleCnt="6">
        <dgm:presLayoutVars>
          <dgm:chMax val="1"/>
          <dgm:chPref val="1"/>
          <dgm:bulletEnabled val="1"/>
        </dgm:presLayoutVars>
      </dgm:prSet>
      <dgm:spPr/>
    </dgm:pt>
    <dgm:pt modelId="{FACCC1AA-CD2F-4D01-A501-4B5252FB01C8}" type="pres">
      <dgm:prSet presAssocID="{19BD3E34-6D03-4D5A-8613-86D6A6283691}" presName="ConnectLine" presStyleLbl="sibTrans1D1" presStyleIdx="2" presStyleCnt="3"/>
      <dgm:spPr>
        <a:noFill/>
        <a:ln w="12700" cap="flat" cmpd="sng" algn="ctr">
          <a:solidFill>
            <a:schemeClr val="accent2">
              <a:hueOff val="-10369007"/>
              <a:satOff val="-20408"/>
              <a:lumOff val="12745"/>
              <a:alphaOff val="0"/>
            </a:schemeClr>
          </a:solidFill>
          <a:prstDash val="dash"/>
          <a:miter lim="800000"/>
        </a:ln>
        <a:effectLst/>
      </dgm:spPr>
    </dgm:pt>
    <dgm:pt modelId="{81035508-C14E-476D-9451-236ECF0EA4EA}" type="pres">
      <dgm:prSet presAssocID="{19BD3E34-6D03-4D5A-8613-86D6A6283691}" presName="EmptyPlaceHolder" presStyleCnt="0"/>
      <dgm:spPr/>
    </dgm:pt>
  </dgm:ptLst>
  <dgm:cxnLst>
    <dgm:cxn modelId="{20B0AF11-49C5-4F4F-A65D-71C5D66C8431}" srcId="{C2E3943C-550C-4F6F-BE7B-28D674E0291E}" destId="{61B41B6E-E706-4851-BAAA-0D2E6A6DA323}" srcOrd="0" destOrd="0" parTransId="{3654D46F-4E7B-4D26-A3B4-493364D24DD3}" sibTransId="{211A6A6F-A225-4A27-89FF-F6DCDB3681C0}"/>
    <dgm:cxn modelId="{2BD3E615-56C4-4668-AE79-B27BBD0E3697}" type="presOf" srcId="{C2E3943C-550C-4F6F-BE7B-28D674E0291E}" destId="{B1F2F1DA-9170-45CD-AB23-A799467BDC53}" srcOrd="0" destOrd="0" presId="urn:microsoft.com/office/officeart/2017/3/layout/DropPinTimeline"/>
    <dgm:cxn modelId="{3D23D42F-D9B1-4003-99CC-7B76D2C2E4C8}" type="presOf" srcId="{61B41B6E-E706-4851-BAAA-0D2E6A6DA323}" destId="{06B2E776-DA5C-4D7F-97F2-56D4770AD4DC}" srcOrd="0" destOrd="0" presId="urn:microsoft.com/office/officeart/2017/3/layout/DropPinTimeline"/>
    <dgm:cxn modelId="{5C92FD40-52E1-4F61-80D2-0CA1FAE660CE}" type="presOf" srcId="{8669C823-785C-4A29-9A5C-FE0B6C5B0B0C}" destId="{80EBD3E0-9274-4943-B4F3-4BAD315FF1C8}" srcOrd="0" destOrd="1" presId="urn:microsoft.com/office/officeart/2017/3/layout/DropPinTimeline"/>
    <dgm:cxn modelId="{81FCF467-8B20-44A1-88BB-01D194B54D0D}" srcId="{89C38AAE-77E0-4D04-92A3-A9FE9E113714}" destId="{BA80EEA1-DEDC-49F4-8FB7-CE3B4F958DA3}" srcOrd="0" destOrd="0" parTransId="{9D944268-3E85-4DE9-A1F7-12B0C3519B5A}" sibTransId="{6B0E6CCC-493A-412A-9F55-980C3F6A2305}"/>
    <dgm:cxn modelId="{DD0E3A69-7140-4324-B84A-C9C44769853F}" type="presOf" srcId="{BA80EEA1-DEDC-49F4-8FB7-CE3B4F958DA3}" destId="{BCED990D-EE8B-465E-A3A9-A38637BB38BE}" srcOrd="0" destOrd="0" presId="urn:microsoft.com/office/officeart/2017/3/layout/DropPinTimeline"/>
    <dgm:cxn modelId="{527B534A-CDF9-48D2-89D1-1531F5CDC7E7}" srcId="{61B41B6E-E706-4851-BAAA-0D2E6A6DA323}" destId="{16D7E49C-4EEB-4EF3-92F6-60FCB6ED022E}" srcOrd="0" destOrd="0" parTransId="{59E1A8A2-D9AE-4A39-9152-52AC9F0D9B73}" sibTransId="{F9AE1B75-584B-455C-AB48-BBA6709F8F04}"/>
    <dgm:cxn modelId="{5187DE72-4657-45BD-9FF1-AFFE8D52DD3E}" type="presOf" srcId="{C06EAA9B-1E84-4A5D-B003-BB56C608E385}" destId="{24C10D8C-314A-4E60-B6B0-1E5086AF8241}" srcOrd="0" destOrd="1" presId="urn:microsoft.com/office/officeart/2017/3/layout/DropPinTimeline"/>
    <dgm:cxn modelId="{D7DD2153-F9FE-4508-9F52-F08F276D941C}" srcId="{19BD3E34-6D03-4D5A-8613-86D6A6283691}" destId="{3656C892-9078-43DF-9DB4-B2F30DB3D84B}" srcOrd="0" destOrd="0" parTransId="{AC25BF9D-9410-4919-9C70-5A8F5A976DFB}" sibTransId="{DBE6A69B-7C7B-44F8-B15E-FF3AC03907BA}"/>
    <dgm:cxn modelId="{24884A53-4A5A-4E68-84A6-4E31A6B7790A}" srcId="{C2E3943C-550C-4F6F-BE7B-28D674E0291E}" destId="{19BD3E34-6D03-4D5A-8613-86D6A6283691}" srcOrd="2" destOrd="0" parTransId="{1658CD73-A100-431E-9375-7575E64D9AC9}" sibTransId="{DF95BDC6-D513-4DAA-8754-F249FB2067D7}"/>
    <dgm:cxn modelId="{74C20B8C-EA94-4E97-9D0A-BA2202376531}" type="presOf" srcId="{16D7E49C-4EEB-4EF3-92F6-60FCB6ED022E}" destId="{24C10D8C-314A-4E60-B6B0-1E5086AF8241}" srcOrd="0" destOrd="0" presId="urn:microsoft.com/office/officeart/2017/3/layout/DropPinTimeline"/>
    <dgm:cxn modelId="{7D05A68C-8C7F-440A-B410-CAC56BFC91FB}" type="presOf" srcId="{7BC44BD8-FD14-4D63-ACD4-4CD28D7E59D5}" destId="{BCED990D-EE8B-465E-A3A9-A38637BB38BE}" srcOrd="0" destOrd="1" presId="urn:microsoft.com/office/officeart/2017/3/layout/DropPinTimeline"/>
    <dgm:cxn modelId="{A7146D97-7F53-4F42-821D-347E1C010C0D}" srcId="{61B41B6E-E706-4851-BAAA-0D2E6A6DA323}" destId="{C06EAA9B-1E84-4A5D-B003-BB56C608E385}" srcOrd="1" destOrd="0" parTransId="{ED2442AD-E9AA-4BFA-AD90-067028CD60E1}" sibTransId="{EFCD3401-7179-4648-A871-03C7E4436505}"/>
    <dgm:cxn modelId="{B71B82A5-E2E4-4469-9175-BBF3992ABBDB}" srcId="{C2E3943C-550C-4F6F-BE7B-28D674E0291E}" destId="{89C38AAE-77E0-4D04-92A3-A9FE9E113714}" srcOrd="1" destOrd="0" parTransId="{BB778D5F-1D8B-425D-976D-F5500AD5975A}" sibTransId="{69C1BE28-DD12-4AFA-974B-DE262BF2F964}"/>
    <dgm:cxn modelId="{A51867AB-BD54-4D47-BFF7-FEFC189F447B}" type="presOf" srcId="{3656C892-9078-43DF-9DB4-B2F30DB3D84B}" destId="{80EBD3E0-9274-4943-B4F3-4BAD315FF1C8}" srcOrd="0" destOrd="0" presId="urn:microsoft.com/office/officeart/2017/3/layout/DropPinTimeline"/>
    <dgm:cxn modelId="{4C2491CA-703B-4ED4-8399-59A71648FE31}" srcId="{19BD3E34-6D03-4D5A-8613-86D6A6283691}" destId="{8669C823-785C-4A29-9A5C-FE0B6C5B0B0C}" srcOrd="1" destOrd="0" parTransId="{0CEF224A-F733-451D-A19C-8CDD1C805D84}" sibTransId="{2068BEC2-9126-4175-8AEA-05A276A39244}"/>
    <dgm:cxn modelId="{3166F4DF-E49D-478B-9CEE-2777B22CC02D}" type="presOf" srcId="{89C38AAE-77E0-4D04-92A3-A9FE9E113714}" destId="{D48ECBF0-BF5E-4F4C-BEBB-7B1DFB0E158F}" srcOrd="0" destOrd="0" presId="urn:microsoft.com/office/officeart/2017/3/layout/DropPinTimeline"/>
    <dgm:cxn modelId="{96A513F7-F56E-41A1-BF60-0602A524634C}" type="presOf" srcId="{19BD3E34-6D03-4D5A-8613-86D6A6283691}" destId="{C553DA49-5B91-4DDB-A52C-9086FB221A05}" srcOrd="0" destOrd="0" presId="urn:microsoft.com/office/officeart/2017/3/layout/DropPinTimeline"/>
    <dgm:cxn modelId="{C937F6F9-01F8-479B-987A-779BC28732CE}" srcId="{89C38AAE-77E0-4D04-92A3-A9FE9E113714}" destId="{7BC44BD8-FD14-4D63-ACD4-4CD28D7E59D5}" srcOrd="1" destOrd="0" parTransId="{B4ED44CE-8E12-4E79-9BA0-1D3F21B3B24A}" sibTransId="{05E7ADB0-28F0-4405-AB5A-58DDC464A1B4}"/>
    <dgm:cxn modelId="{1F84B380-6DC8-4E18-8289-8B9C71E1D7CD}" type="presParOf" srcId="{B1F2F1DA-9170-45CD-AB23-A799467BDC53}" destId="{DA095DE8-F9A3-40E1-8B84-EF793B99507A}" srcOrd="0" destOrd="0" presId="urn:microsoft.com/office/officeart/2017/3/layout/DropPinTimeline"/>
    <dgm:cxn modelId="{DD0F896B-2912-4B34-8F20-74D3DF664FB8}" type="presParOf" srcId="{B1F2F1DA-9170-45CD-AB23-A799467BDC53}" destId="{A8E8D86B-00C8-4E80-99AD-723BBD8F9EC4}" srcOrd="1" destOrd="0" presId="urn:microsoft.com/office/officeart/2017/3/layout/DropPinTimeline"/>
    <dgm:cxn modelId="{58F88198-BACA-4672-B18C-7ECE1DE36817}" type="presParOf" srcId="{A8E8D86B-00C8-4E80-99AD-723BBD8F9EC4}" destId="{132233D2-38AA-4788-B604-CEC944885CE2}" srcOrd="0" destOrd="0" presId="urn:microsoft.com/office/officeart/2017/3/layout/DropPinTimeline"/>
    <dgm:cxn modelId="{2563C651-C926-4009-AA7C-6B2E8C3B9BC2}" type="presParOf" srcId="{132233D2-38AA-4788-B604-CEC944885CE2}" destId="{892071EC-EAF3-40D0-8A85-AD3904426183}" srcOrd="0" destOrd="0" presId="urn:microsoft.com/office/officeart/2017/3/layout/DropPinTimeline"/>
    <dgm:cxn modelId="{037ED45D-4A12-47E3-948E-CD1ECFA64431}" type="presParOf" srcId="{132233D2-38AA-4788-B604-CEC944885CE2}" destId="{DB8BE09E-EC51-4EE2-BE60-52324109552B}" srcOrd="1" destOrd="0" presId="urn:microsoft.com/office/officeart/2017/3/layout/DropPinTimeline"/>
    <dgm:cxn modelId="{2A1557A5-2FF0-41BB-8EB4-07B983DE454D}" type="presParOf" srcId="{DB8BE09E-EC51-4EE2-BE60-52324109552B}" destId="{3403B9FF-17CF-4B68-BB83-C82F37730563}" srcOrd="0" destOrd="0" presId="urn:microsoft.com/office/officeart/2017/3/layout/DropPinTimeline"/>
    <dgm:cxn modelId="{9C96E122-58FD-4A06-949F-B89E137BE49C}" type="presParOf" srcId="{DB8BE09E-EC51-4EE2-BE60-52324109552B}" destId="{7A50ECD3-605C-442F-97FC-D68600032CFA}" srcOrd="1" destOrd="0" presId="urn:microsoft.com/office/officeart/2017/3/layout/DropPinTimeline"/>
    <dgm:cxn modelId="{DEF543C9-B562-4B25-9865-4E6EC60BD440}" type="presParOf" srcId="{132233D2-38AA-4788-B604-CEC944885CE2}" destId="{24C10D8C-314A-4E60-B6B0-1E5086AF8241}" srcOrd="2" destOrd="0" presId="urn:microsoft.com/office/officeart/2017/3/layout/DropPinTimeline"/>
    <dgm:cxn modelId="{DB487E03-C337-4B62-ABB8-67DDCAD837FF}" type="presParOf" srcId="{132233D2-38AA-4788-B604-CEC944885CE2}" destId="{06B2E776-DA5C-4D7F-97F2-56D4770AD4DC}" srcOrd="3" destOrd="0" presId="urn:microsoft.com/office/officeart/2017/3/layout/DropPinTimeline"/>
    <dgm:cxn modelId="{7E03B188-CB63-4878-A8C8-797BD81AB026}" type="presParOf" srcId="{132233D2-38AA-4788-B604-CEC944885CE2}" destId="{C29F99BD-AEAE-4407-B8E4-CD18C282CA15}" srcOrd="4" destOrd="0" presId="urn:microsoft.com/office/officeart/2017/3/layout/DropPinTimeline"/>
    <dgm:cxn modelId="{BEA0665A-CEE5-4561-9BCB-784DBA395068}" type="presParOf" srcId="{132233D2-38AA-4788-B604-CEC944885CE2}" destId="{CABB78D6-1536-4847-9BBB-B7C45A1B001C}" srcOrd="5" destOrd="0" presId="urn:microsoft.com/office/officeart/2017/3/layout/DropPinTimeline"/>
    <dgm:cxn modelId="{F9C5370E-61EF-4B8D-8FE8-1D940DC25094}" type="presParOf" srcId="{A8E8D86B-00C8-4E80-99AD-723BBD8F9EC4}" destId="{78B0128E-92A5-4C61-85EE-900DC204BEF7}" srcOrd="1" destOrd="0" presId="urn:microsoft.com/office/officeart/2017/3/layout/DropPinTimeline"/>
    <dgm:cxn modelId="{FF8F05EE-2E7F-4ECE-BB58-EEF42B291751}" type="presParOf" srcId="{A8E8D86B-00C8-4E80-99AD-723BBD8F9EC4}" destId="{266BBE4F-33B1-419F-A7C1-A7D6A3740AAB}" srcOrd="2" destOrd="0" presId="urn:microsoft.com/office/officeart/2017/3/layout/DropPinTimeline"/>
    <dgm:cxn modelId="{69952D21-08B8-4090-B36C-E8749225F016}" type="presParOf" srcId="{266BBE4F-33B1-419F-A7C1-A7D6A3740AAB}" destId="{E91B32C5-7A88-4B22-8A1A-A24F567D35EF}" srcOrd="0" destOrd="0" presId="urn:microsoft.com/office/officeart/2017/3/layout/DropPinTimeline"/>
    <dgm:cxn modelId="{541EA9F4-4F80-492C-B0DC-BE77255EB47F}" type="presParOf" srcId="{266BBE4F-33B1-419F-A7C1-A7D6A3740AAB}" destId="{1A167933-7F8E-4D5B-A3D5-04124AEE59EB}" srcOrd="1" destOrd="0" presId="urn:microsoft.com/office/officeart/2017/3/layout/DropPinTimeline"/>
    <dgm:cxn modelId="{6ED91417-AA0A-4839-8803-F44AF7E7FD90}" type="presParOf" srcId="{1A167933-7F8E-4D5B-A3D5-04124AEE59EB}" destId="{642C3C2D-2135-49EE-85E6-9D232B1856EE}" srcOrd="0" destOrd="0" presId="urn:microsoft.com/office/officeart/2017/3/layout/DropPinTimeline"/>
    <dgm:cxn modelId="{AFCAC7B6-C71F-44A8-80FB-8F73966E0683}" type="presParOf" srcId="{1A167933-7F8E-4D5B-A3D5-04124AEE59EB}" destId="{C64A5E0B-7A0B-45A4-B467-F1B83E2F6A56}" srcOrd="1" destOrd="0" presId="urn:microsoft.com/office/officeart/2017/3/layout/DropPinTimeline"/>
    <dgm:cxn modelId="{D07DCB31-BB5F-43FD-99F0-C8E4A8F60DD5}" type="presParOf" srcId="{266BBE4F-33B1-419F-A7C1-A7D6A3740AAB}" destId="{BCED990D-EE8B-465E-A3A9-A38637BB38BE}" srcOrd="2" destOrd="0" presId="urn:microsoft.com/office/officeart/2017/3/layout/DropPinTimeline"/>
    <dgm:cxn modelId="{7857E1C3-7582-4013-A7EF-F1A99FA38AEE}" type="presParOf" srcId="{266BBE4F-33B1-419F-A7C1-A7D6A3740AAB}" destId="{D48ECBF0-BF5E-4F4C-BEBB-7B1DFB0E158F}" srcOrd="3" destOrd="0" presId="urn:microsoft.com/office/officeart/2017/3/layout/DropPinTimeline"/>
    <dgm:cxn modelId="{E128524A-403F-48ED-85CB-36D049B5F482}" type="presParOf" srcId="{266BBE4F-33B1-419F-A7C1-A7D6A3740AAB}" destId="{8BC7690D-7CB6-4DE4-B337-6107980C25B0}" srcOrd="4" destOrd="0" presId="urn:microsoft.com/office/officeart/2017/3/layout/DropPinTimeline"/>
    <dgm:cxn modelId="{608B7AA8-2142-4FD2-BEC2-B72380DD835D}" type="presParOf" srcId="{266BBE4F-33B1-419F-A7C1-A7D6A3740AAB}" destId="{8403AB90-CCE1-4B38-88C7-53FC66150EAF}" srcOrd="5" destOrd="0" presId="urn:microsoft.com/office/officeart/2017/3/layout/DropPinTimeline"/>
    <dgm:cxn modelId="{21E6F4B8-137A-4B20-917B-67079FF048B3}" type="presParOf" srcId="{A8E8D86B-00C8-4E80-99AD-723BBD8F9EC4}" destId="{BCFCEF64-D83F-4FE3-8A8B-763B4631CF3A}" srcOrd="3" destOrd="0" presId="urn:microsoft.com/office/officeart/2017/3/layout/DropPinTimeline"/>
    <dgm:cxn modelId="{B2D904C9-CC83-4890-9344-660E921AA42B}" type="presParOf" srcId="{A8E8D86B-00C8-4E80-99AD-723BBD8F9EC4}" destId="{3869A8C8-F404-44C9-BE01-7A08600B68DE}" srcOrd="4" destOrd="0" presId="urn:microsoft.com/office/officeart/2017/3/layout/DropPinTimeline"/>
    <dgm:cxn modelId="{F9ECC785-95AC-43C9-A98A-872B7BDCB916}" type="presParOf" srcId="{3869A8C8-F404-44C9-BE01-7A08600B68DE}" destId="{2C421BBC-6C0C-4982-BAAE-A8B45E04650A}" srcOrd="0" destOrd="0" presId="urn:microsoft.com/office/officeart/2017/3/layout/DropPinTimeline"/>
    <dgm:cxn modelId="{F11FB92C-26E5-4677-A897-4BDA87B0082E}" type="presParOf" srcId="{3869A8C8-F404-44C9-BE01-7A08600B68DE}" destId="{662F9D2F-169E-4E3E-9242-5AB652C16104}" srcOrd="1" destOrd="0" presId="urn:microsoft.com/office/officeart/2017/3/layout/DropPinTimeline"/>
    <dgm:cxn modelId="{1BD247B6-2EFD-499B-B536-FE4E5F9057FB}" type="presParOf" srcId="{662F9D2F-169E-4E3E-9242-5AB652C16104}" destId="{4402B34F-5283-417E-91E4-E66CEE0F872B}" srcOrd="0" destOrd="0" presId="urn:microsoft.com/office/officeart/2017/3/layout/DropPinTimeline"/>
    <dgm:cxn modelId="{C39DFC72-EFF3-4355-8325-F95EF47A3CC9}" type="presParOf" srcId="{662F9D2F-169E-4E3E-9242-5AB652C16104}" destId="{9064D01D-BEF3-4F2C-B0FE-483EB1435925}" srcOrd="1" destOrd="0" presId="urn:microsoft.com/office/officeart/2017/3/layout/DropPinTimeline"/>
    <dgm:cxn modelId="{C6DAE68B-A533-4199-868F-8483255EBB99}" type="presParOf" srcId="{3869A8C8-F404-44C9-BE01-7A08600B68DE}" destId="{80EBD3E0-9274-4943-B4F3-4BAD315FF1C8}" srcOrd="2" destOrd="0" presId="urn:microsoft.com/office/officeart/2017/3/layout/DropPinTimeline"/>
    <dgm:cxn modelId="{CF3A4C41-3841-4214-9B27-160484925BF0}" type="presParOf" srcId="{3869A8C8-F404-44C9-BE01-7A08600B68DE}" destId="{C553DA49-5B91-4DDB-A52C-9086FB221A05}" srcOrd="3" destOrd="0" presId="urn:microsoft.com/office/officeart/2017/3/layout/DropPinTimeline"/>
    <dgm:cxn modelId="{9FC7266D-F5DC-4614-AD94-1934F24D1BEC}" type="presParOf" srcId="{3869A8C8-F404-44C9-BE01-7A08600B68DE}" destId="{FACCC1AA-CD2F-4D01-A501-4B5252FB01C8}" srcOrd="4" destOrd="0" presId="urn:microsoft.com/office/officeart/2017/3/layout/DropPinTimeline"/>
    <dgm:cxn modelId="{44B0A539-8757-47C3-9D90-4938DF8419B0}" type="presParOf" srcId="{3869A8C8-F404-44C9-BE01-7A08600B68DE}" destId="{81035508-C14E-476D-9451-236ECF0EA4EA}" srcOrd="5" destOrd="0" presId="urn:microsoft.com/office/officeart/2017/3/layout/DropPinTimeline"/>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A095DE8-F9A3-40E1-8B84-EF793B99507A}">
      <dsp:nvSpPr>
        <dsp:cNvPr id="0" name=""/>
        <dsp:cNvSpPr/>
      </dsp:nvSpPr>
      <dsp:spPr>
        <a:xfrm>
          <a:off x="0" y="891355"/>
          <a:ext cx="5753589" cy="0"/>
        </a:xfrm>
        <a:prstGeom prst="line">
          <a:avLst/>
        </a:prstGeom>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sp:spPr>
      <dsp:style>
        <a:lnRef idx="2">
          <a:scrgbClr r="0" g="0" b="0"/>
        </a:lnRef>
        <a:fillRef idx="1">
          <a:scrgbClr r="0" g="0" b="0"/>
        </a:fillRef>
        <a:effectRef idx="0">
          <a:scrgbClr r="0" g="0" b="0"/>
        </a:effectRef>
        <a:fontRef idx="minor"/>
      </dsp:style>
    </dsp:sp>
    <dsp:sp modelId="{3403B9FF-17CF-4B68-BB83-C82F37730563}">
      <dsp:nvSpPr>
        <dsp:cNvPr id="0" name=""/>
        <dsp:cNvSpPr/>
      </dsp:nvSpPr>
      <dsp:spPr>
        <a:xfrm rot="8100000">
          <a:off x="28441" y="205422"/>
          <a:ext cx="131098" cy="131098"/>
        </a:xfrm>
        <a:prstGeom prst="teardrop">
          <a:avLst>
            <a:gd name="adj" fmla="val 115000"/>
          </a:avLst>
        </a:prstGeom>
        <a:solidFill>
          <a:schemeClr val="accent2">
            <a:hueOff val="0"/>
            <a:satOff val="0"/>
            <a:lumOff val="0"/>
            <a:alphaOff val="0"/>
          </a:schemeClr>
        </a:solidFill>
        <a:ln w="1905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A50ECD3-605C-442F-97FC-D68600032CFA}">
      <dsp:nvSpPr>
        <dsp:cNvPr id="0" name=""/>
        <dsp:cNvSpPr/>
      </dsp:nvSpPr>
      <dsp:spPr>
        <a:xfrm>
          <a:off x="43005" y="219986"/>
          <a:ext cx="101971" cy="101971"/>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24C10D8C-314A-4E60-B6B0-1E5086AF8241}">
      <dsp:nvSpPr>
        <dsp:cNvPr id="0" name=""/>
        <dsp:cNvSpPr/>
      </dsp:nvSpPr>
      <dsp:spPr>
        <a:xfrm>
          <a:off x="186691" y="363673"/>
          <a:ext cx="2390134" cy="5276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dirty="0"/>
            <a:t>Total Revenue – $2649.9m</a:t>
          </a:r>
        </a:p>
        <a:p>
          <a:pPr marL="0" lvl="0" indent="0" algn="l" defTabSz="444500">
            <a:lnSpc>
              <a:spcPct val="90000"/>
            </a:lnSpc>
            <a:spcBef>
              <a:spcPct val="0"/>
            </a:spcBef>
            <a:spcAft>
              <a:spcPct val="35000"/>
            </a:spcAft>
            <a:buNone/>
          </a:pPr>
          <a:r>
            <a:rPr lang="en-US" sz="1000" b="1" kern="1200" dirty="0"/>
            <a:t>Net Profit -$52.6m</a:t>
          </a:r>
        </a:p>
      </dsp:txBody>
      <dsp:txXfrm>
        <a:off x="186691" y="363673"/>
        <a:ext cx="2390134" cy="527682"/>
      </dsp:txXfrm>
    </dsp:sp>
    <dsp:sp modelId="{06B2E776-DA5C-4D7F-97F2-56D4770AD4DC}">
      <dsp:nvSpPr>
        <dsp:cNvPr id="0" name=""/>
        <dsp:cNvSpPr/>
      </dsp:nvSpPr>
      <dsp:spPr>
        <a:xfrm>
          <a:off x="186691" y="178271"/>
          <a:ext cx="2390134" cy="18540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a:t>2022</a:t>
          </a:r>
        </a:p>
      </dsp:txBody>
      <dsp:txXfrm>
        <a:off x="186691" y="178271"/>
        <a:ext cx="2390134" cy="185401"/>
      </dsp:txXfrm>
    </dsp:sp>
    <dsp:sp modelId="{C29F99BD-AEAE-4407-B8E4-CD18C282CA15}">
      <dsp:nvSpPr>
        <dsp:cNvPr id="0" name=""/>
        <dsp:cNvSpPr/>
      </dsp:nvSpPr>
      <dsp:spPr>
        <a:xfrm>
          <a:off x="93990" y="363673"/>
          <a:ext cx="0" cy="527682"/>
        </a:xfrm>
        <a:prstGeom prst="line">
          <a:avLst/>
        </a:prstGeom>
        <a:noFill/>
        <a:ln w="12700" cap="flat" cmpd="sng" algn="ctr">
          <a:solidFill>
            <a:schemeClr val="accent2">
              <a:hueOff val="0"/>
              <a:satOff val="0"/>
              <a:lumOff val="0"/>
              <a:alphaOff val="0"/>
            </a:schemeClr>
          </a:solidFill>
          <a:prstDash val="dash"/>
          <a:miter lim="800000"/>
        </a:ln>
        <a:effectLst/>
      </dsp:spPr>
      <dsp:style>
        <a:lnRef idx="1">
          <a:scrgbClr r="0" g="0" b="0"/>
        </a:lnRef>
        <a:fillRef idx="0">
          <a:scrgbClr r="0" g="0" b="0"/>
        </a:fillRef>
        <a:effectRef idx="0">
          <a:scrgbClr r="0" g="0" b="0"/>
        </a:effectRef>
        <a:fontRef idx="minor"/>
      </dsp:style>
    </dsp:sp>
    <dsp:sp modelId="{892071EC-EAF3-40D0-8A85-AD3904426183}">
      <dsp:nvSpPr>
        <dsp:cNvPr id="0" name=""/>
        <dsp:cNvSpPr/>
      </dsp:nvSpPr>
      <dsp:spPr>
        <a:xfrm>
          <a:off x="77036" y="874669"/>
          <a:ext cx="33372" cy="33372"/>
        </a:xfrm>
        <a:prstGeom prst="ellipse">
          <a:avLst/>
        </a:prstGeom>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642C3C2D-2135-49EE-85E6-9D232B1856EE}">
      <dsp:nvSpPr>
        <dsp:cNvPr id="0" name=""/>
        <dsp:cNvSpPr/>
      </dsp:nvSpPr>
      <dsp:spPr>
        <a:xfrm rot="18900000">
          <a:off x="1464105" y="1446189"/>
          <a:ext cx="131098" cy="131098"/>
        </a:xfrm>
        <a:prstGeom prst="teardrop">
          <a:avLst>
            <a:gd name="adj" fmla="val 115000"/>
          </a:avLst>
        </a:prstGeom>
        <a:solidFill>
          <a:schemeClr val="accent2">
            <a:hueOff val="3221807"/>
            <a:satOff val="-9246"/>
            <a:lumOff val="-14805"/>
            <a:alphaOff val="0"/>
          </a:schemeClr>
        </a:solidFill>
        <a:ln w="19050" cap="flat" cmpd="sng" algn="ctr">
          <a:solidFill>
            <a:schemeClr val="accent2">
              <a:hueOff val="3221807"/>
              <a:satOff val="-9246"/>
              <a:lumOff val="-14805"/>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64A5E0B-7A0B-45A4-B467-F1B83E2F6A56}">
      <dsp:nvSpPr>
        <dsp:cNvPr id="0" name=""/>
        <dsp:cNvSpPr/>
      </dsp:nvSpPr>
      <dsp:spPr>
        <a:xfrm>
          <a:off x="1478669" y="1460753"/>
          <a:ext cx="101971" cy="101971"/>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BCED990D-EE8B-465E-A3A9-A38637BB38BE}">
      <dsp:nvSpPr>
        <dsp:cNvPr id="0" name=""/>
        <dsp:cNvSpPr/>
      </dsp:nvSpPr>
      <dsp:spPr>
        <a:xfrm>
          <a:off x="1622356" y="891355"/>
          <a:ext cx="2390134" cy="5276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95250" rIns="0" bIns="63500" numCol="1" spcCol="1270" anchor="b" anchorCtr="0">
          <a:noAutofit/>
        </a:bodyPr>
        <a:lstStyle/>
        <a:p>
          <a:pPr marL="0" lvl="0" indent="0" algn="l" defTabSz="444500">
            <a:lnSpc>
              <a:spcPct val="90000"/>
            </a:lnSpc>
            <a:spcBef>
              <a:spcPct val="0"/>
            </a:spcBef>
            <a:spcAft>
              <a:spcPct val="35000"/>
            </a:spcAft>
            <a:buNone/>
          </a:pPr>
          <a:r>
            <a:rPr lang="en-US" sz="1000" b="1" kern="1200" dirty="0"/>
            <a:t>Total Revenue - $2765.2m</a:t>
          </a:r>
        </a:p>
        <a:p>
          <a:pPr marL="0" lvl="0" indent="0" algn="l" defTabSz="444500">
            <a:lnSpc>
              <a:spcPct val="90000"/>
            </a:lnSpc>
            <a:spcBef>
              <a:spcPct val="0"/>
            </a:spcBef>
            <a:spcAft>
              <a:spcPct val="35000"/>
            </a:spcAft>
            <a:buNone/>
          </a:pPr>
          <a:r>
            <a:rPr lang="en-US" sz="1000" b="1" kern="1200" dirty="0"/>
            <a:t>Net Profit - $71.1m</a:t>
          </a:r>
        </a:p>
      </dsp:txBody>
      <dsp:txXfrm>
        <a:off x="1622356" y="891355"/>
        <a:ext cx="2390134" cy="527682"/>
      </dsp:txXfrm>
    </dsp:sp>
    <dsp:sp modelId="{D48ECBF0-BF5E-4F4C-BEBB-7B1DFB0E158F}">
      <dsp:nvSpPr>
        <dsp:cNvPr id="0" name=""/>
        <dsp:cNvSpPr/>
      </dsp:nvSpPr>
      <dsp:spPr>
        <a:xfrm>
          <a:off x="1622356" y="1419037"/>
          <a:ext cx="2390134" cy="18540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2023</a:t>
          </a:r>
        </a:p>
      </dsp:txBody>
      <dsp:txXfrm>
        <a:off x="1622356" y="1419037"/>
        <a:ext cx="2390134" cy="185401"/>
      </dsp:txXfrm>
    </dsp:sp>
    <dsp:sp modelId="{8BC7690D-7CB6-4DE4-B337-6107980C25B0}">
      <dsp:nvSpPr>
        <dsp:cNvPr id="0" name=""/>
        <dsp:cNvSpPr/>
      </dsp:nvSpPr>
      <dsp:spPr>
        <a:xfrm>
          <a:off x="1529655" y="891355"/>
          <a:ext cx="0" cy="527682"/>
        </a:xfrm>
        <a:prstGeom prst="line">
          <a:avLst/>
        </a:prstGeom>
        <a:noFill/>
        <a:ln w="12700" cap="flat" cmpd="sng" algn="ctr">
          <a:solidFill>
            <a:schemeClr val="accent2">
              <a:hueOff val="-5184504"/>
              <a:satOff val="-10204"/>
              <a:lumOff val="6372"/>
              <a:alphaOff val="0"/>
            </a:schemeClr>
          </a:solidFill>
          <a:prstDash val="dash"/>
          <a:miter lim="800000"/>
        </a:ln>
        <a:effectLst/>
      </dsp:spPr>
      <dsp:style>
        <a:lnRef idx="1">
          <a:scrgbClr r="0" g="0" b="0"/>
        </a:lnRef>
        <a:fillRef idx="0">
          <a:scrgbClr r="0" g="0" b="0"/>
        </a:fillRef>
        <a:effectRef idx="0">
          <a:scrgbClr r="0" g="0" b="0"/>
        </a:effectRef>
        <a:fontRef idx="minor"/>
      </dsp:style>
    </dsp:sp>
    <dsp:sp modelId="{E91B32C5-7A88-4B22-8A1A-A24F567D35EF}">
      <dsp:nvSpPr>
        <dsp:cNvPr id="0" name=""/>
        <dsp:cNvSpPr/>
      </dsp:nvSpPr>
      <dsp:spPr>
        <a:xfrm>
          <a:off x="1512700" y="874669"/>
          <a:ext cx="33372" cy="33372"/>
        </a:xfrm>
        <a:prstGeom prst="ellipse">
          <a:avLst/>
        </a:prstGeom>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4402B34F-5283-417E-91E4-E66CEE0F872B}">
      <dsp:nvSpPr>
        <dsp:cNvPr id="0" name=""/>
        <dsp:cNvSpPr/>
      </dsp:nvSpPr>
      <dsp:spPr>
        <a:xfrm rot="8100000">
          <a:off x="2899770" y="205422"/>
          <a:ext cx="131098" cy="131098"/>
        </a:xfrm>
        <a:prstGeom prst="teardrop">
          <a:avLst>
            <a:gd name="adj" fmla="val 115000"/>
          </a:avLst>
        </a:prstGeom>
        <a:solidFill>
          <a:schemeClr val="accent2">
            <a:hueOff val="6443614"/>
            <a:satOff val="-18493"/>
            <a:lumOff val="-29609"/>
            <a:alphaOff val="0"/>
          </a:schemeClr>
        </a:solidFill>
        <a:ln w="19050" cap="flat" cmpd="sng" algn="ctr">
          <a:solidFill>
            <a:schemeClr val="accent2">
              <a:hueOff val="6443614"/>
              <a:satOff val="-18493"/>
              <a:lumOff val="-29609"/>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064D01D-BEF3-4F2C-B0FE-483EB1435925}">
      <dsp:nvSpPr>
        <dsp:cNvPr id="0" name=""/>
        <dsp:cNvSpPr/>
      </dsp:nvSpPr>
      <dsp:spPr>
        <a:xfrm>
          <a:off x="2914334" y="219986"/>
          <a:ext cx="101971" cy="101971"/>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80EBD3E0-9274-4943-B4F3-4BAD315FF1C8}">
      <dsp:nvSpPr>
        <dsp:cNvPr id="0" name=""/>
        <dsp:cNvSpPr/>
      </dsp:nvSpPr>
      <dsp:spPr>
        <a:xfrm>
          <a:off x="3058020" y="363673"/>
          <a:ext cx="2390134" cy="5276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dirty="0"/>
            <a:t>Total Revenue - $2502.3m</a:t>
          </a:r>
        </a:p>
        <a:p>
          <a:pPr marL="0" lvl="0" indent="0" algn="l" defTabSz="444500">
            <a:lnSpc>
              <a:spcPct val="90000"/>
            </a:lnSpc>
            <a:spcBef>
              <a:spcPct val="0"/>
            </a:spcBef>
            <a:spcAft>
              <a:spcPct val="35000"/>
            </a:spcAft>
            <a:buNone/>
          </a:pPr>
          <a:r>
            <a:rPr lang="en-US" sz="1000" b="1" kern="1200" dirty="0"/>
            <a:t>Net Profit - $60.2m</a:t>
          </a:r>
        </a:p>
      </dsp:txBody>
      <dsp:txXfrm>
        <a:off x="3058020" y="363673"/>
        <a:ext cx="2390134" cy="527682"/>
      </dsp:txXfrm>
    </dsp:sp>
    <dsp:sp modelId="{C553DA49-5B91-4DDB-A52C-9086FB221A05}">
      <dsp:nvSpPr>
        <dsp:cNvPr id="0" name=""/>
        <dsp:cNvSpPr/>
      </dsp:nvSpPr>
      <dsp:spPr>
        <a:xfrm>
          <a:off x="3058020" y="178271"/>
          <a:ext cx="2390134" cy="18540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2024</a:t>
          </a:r>
        </a:p>
      </dsp:txBody>
      <dsp:txXfrm>
        <a:off x="3058020" y="178271"/>
        <a:ext cx="2390134" cy="185401"/>
      </dsp:txXfrm>
    </dsp:sp>
    <dsp:sp modelId="{FACCC1AA-CD2F-4D01-A501-4B5252FB01C8}">
      <dsp:nvSpPr>
        <dsp:cNvPr id="0" name=""/>
        <dsp:cNvSpPr/>
      </dsp:nvSpPr>
      <dsp:spPr>
        <a:xfrm>
          <a:off x="2965319" y="363673"/>
          <a:ext cx="0" cy="527682"/>
        </a:xfrm>
        <a:prstGeom prst="line">
          <a:avLst/>
        </a:prstGeom>
        <a:noFill/>
        <a:ln w="12700" cap="flat" cmpd="sng" algn="ctr">
          <a:solidFill>
            <a:schemeClr val="accent2">
              <a:hueOff val="-10369007"/>
              <a:satOff val="-20408"/>
              <a:lumOff val="12745"/>
              <a:alphaOff val="0"/>
            </a:schemeClr>
          </a:solidFill>
          <a:prstDash val="dash"/>
          <a:miter lim="800000"/>
        </a:ln>
        <a:effectLst/>
      </dsp:spPr>
      <dsp:style>
        <a:lnRef idx="1">
          <a:scrgbClr r="0" g="0" b="0"/>
        </a:lnRef>
        <a:fillRef idx="0">
          <a:scrgbClr r="0" g="0" b="0"/>
        </a:fillRef>
        <a:effectRef idx="0">
          <a:scrgbClr r="0" g="0" b="0"/>
        </a:effectRef>
        <a:fontRef idx="minor"/>
      </dsp:style>
    </dsp:sp>
    <dsp:sp modelId="{2C421BBC-6C0C-4982-BAAE-A8B45E04650A}">
      <dsp:nvSpPr>
        <dsp:cNvPr id="0" name=""/>
        <dsp:cNvSpPr/>
      </dsp:nvSpPr>
      <dsp:spPr>
        <a:xfrm>
          <a:off x="2948365" y="874669"/>
          <a:ext cx="33372" cy="33372"/>
        </a:xfrm>
        <a:prstGeom prst="ellipse">
          <a:avLst/>
        </a:prstGeom>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A095DE8-F9A3-40E1-8B84-EF793B99507A}">
      <dsp:nvSpPr>
        <dsp:cNvPr id="0" name=""/>
        <dsp:cNvSpPr/>
      </dsp:nvSpPr>
      <dsp:spPr>
        <a:xfrm>
          <a:off x="0" y="885467"/>
          <a:ext cx="4648781" cy="0"/>
        </a:xfrm>
        <a:prstGeom prst="line">
          <a:avLst/>
        </a:prstGeom>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sp:spPr>
      <dsp:style>
        <a:lnRef idx="2">
          <a:scrgbClr r="0" g="0" b="0"/>
        </a:lnRef>
        <a:fillRef idx="1">
          <a:scrgbClr r="0" g="0" b="0"/>
        </a:fillRef>
        <a:effectRef idx="0">
          <a:scrgbClr r="0" g="0" b="0"/>
        </a:effectRef>
        <a:fontRef idx="minor"/>
      </dsp:style>
    </dsp:sp>
    <dsp:sp modelId="{3403B9FF-17CF-4B68-BB83-C82F37730563}">
      <dsp:nvSpPr>
        <dsp:cNvPr id="0" name=""/>
        <dsp:cNvSpPr/>
      </dsp:nvSpPr>
      <dsp:spPr>
        <a:xfrm rot="8100000">
          <a:off x="30328" y="204065"/>
          <a:ext cx="130232" cy="130232"/>
        </a:xfrm>
        <a:prstGeom prst="teardrop">
          <a:avLst>
            <a:gd name="adj" fmla="val 115000"/>
          </a:avLst>
        </a:prstGeom>
        <a:solidFill>
          <a:schemeClr val="accent2">
            <a:hueOff val="0"/>
            <a:satOff val="0"/>
            <a:lumOff val="0"/>
            <a:alphaOff val="0"/>
          </a:schemeClr>
        </a:solidFill>
        <a:ln w="1905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A50ECD3-605C-442F-97FC-D68600032CFA}">
      <dsp:nvSpPr>
        <dsp:cNvPr id="0" name=""/>
        <dsp:cNvSpPr/>
      </dsp:nvSpPr>
      <dsp:spPr>
        <a:xfrm>
          <a:off x="44796" y="218533"/>
          <a:ext cx="101297" cy="101297"/>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24C10D8C-314A-4E60-B6B0-1E5086AF8241}">
      <dsp:nvSpPr>
        <dsp:cNvPr id="0" name=""/>
        <dsp:cNvSpPr/>
      </dsp:nvSpPr>
      <dsp:spPr>
        <a:xfrm>
          <a:off x="187533" y="361270"/>
          <a:ext cx="1929898" cy="52419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dirty="0"/>
            <a:t>Current Assets – $</a:t>
          </a:r>
          <a:r>
            <a:rPr lang="en-AU" sz="1000" b="1" kern="1200" dirty="0"/>
            <a:t> 649</a:t>
          </a:r>
          <a:r>
            <a:rPr lang="en-US" sz="1000" b="1" kern="1200" dirty="0"/>
            <a:t>m</a:t>
          </a:r>
        </a:p>
        <a:p>
          <a:pPr marL="0" lvl="0" indent="0" algn="l" defTabSz="444500">
            <a:lnSpc>
              <a:spcPct val="90000"/>
            </a:lnSpc>
            <a:spcBef>
              <a:spcPct val="0"/>
            </a:spcBef>
            <a:spcAft>
              <a:spcPct val="35000"/>
            </a:spcAft>
            <a:buNone/>
          </a:pPr>
          <a:r>
            <a:rPr lang="en-US" sz="1000" b="1" kern="1200" dirty="0"/>
            <a:t>Current Liabilities -$665.7m</a:t>
          </a:r>
        </a:p>
      </dsp:txBody>
      <dsp:txXfrm>
        <a:off x="187533" y="361270"/>
        <a:ext cx="1929898" cy="524196"/>
      </dsp:txXfrm>
    </dsp:sp>
    <dsp:sp modelId="{06B2E776-DA5C-4D7F-97F2-56D4770AD4DC}">
      <dsp:nvSpPr>
        <dsp:cNvPr id="0" name=""/>
        <dsp:cNvSpPr/>
      </dsp:nvSpPr>
      <dsp:spPr>
        <a:xfrm>
          <a:off x="187533" y="177093"/>
          <a:ext cx="1929898" cy="18417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a:t>2022</a:t>
          </a:r>
        </a:p>
      </dsp:txBody>
      <dsp:txXfrm>
        <a:off x="187533" y="177093"/>
        <a:ext cx="1929898" cy="184177"/>
      </dsp:txXfrm>
    </dsp:sp>
    <dsp:sp modelId="{C29F99BD-AEAE-4407-B8E4-CD18C282CA15}">
      <dsp:nvSpPr>
        <dsp:cNvPr id="0" name=""/>
        <dsp:cNvSpPr/>
      </dsp:nvSpPr>
      <dsp:spPr>
        <a:xfrm>
          <a:off x="95445" y="361270"/>
          <a:ext cx="0" cy="524196"/>
        </a:xfrm>
        <a:prstGeom prst="line">
          <a:avLst/>
        </a:prstGeom>
        <a:noFill/>
        <a:ln w="12700" cap="flat" cmpd="sng" algn="ctr">
          <a:solidFill>
            <a:schemeClr val="accent2">
              <a:hueOff val="0"/>
              <a:satOff val="0"/>
              <a:lumOff val="0"/>
              <a:alphaOff val="0"/>
            </a:schemeClr>
          </a:solidFill>
          <a:prstDash val="dash"/>
          <a:miter lim="800000"/>
        </a:ln>
        <a:effectLst/>
      </dsp:spPr>
      <dsp:style>
        <a:lnRef idx="1">
          <a:scrgbClr r="0" g="0" b="0"/>
        </a:lnRef>
        <a:fillRef idx="0">
          <a:scrgbClr r="0" g="0" b="0"/>
        </a:fillRef>
        <a:effectRef idx="0">
          <a:scrgbClr r="0" g="0" b="0"/>
        </a:effectRef>
        <a:fontRef idx="minor"/>
      </dsp:style>
    </dsp:sp>
    <dsp:sp modelId="{892071EC-EAF3-40D0-8A85-AD3904426183}">
      <dsp:nvSpPr>
        <dsp:cNvPr id="0" name=""/>
        <dsp:cNvSpPr/>
      </dsp:nvSpPr>
      <dsp:spPr>
        <a:xfrm>
          <a:off x="78541" y="868891"/>
          <a:ext cx="33151" cy="33151"/>
        </a:xfrm>
        <a:prstGeom prst="ellipse">
          <a:avLst/>
        </a:prstGeom>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642C3C2D-2135-49EE-85E6-9D232B1856EE}">
      <dsp:nvSpPr>
        <dsp:cNvPr id="0" name=""/>
        <dsp:cNvSpPr/>
      </dsp:nvSpPr>
      <dsp:spPr>
        <a:xfrm rot="18900000">
          <a:off x="1188772" y="1436635"/>
          <a:ext cx="130232" cy="130232"/>
        </a:xfrm>
        <a:prstGeom prst="teardrop">
          <a:avLst>
            <a:gd name="adj" fmla="val 115000"/>
          </a:avLst>
        </a:prstGeom>
        <a:solidFill>
          <a:schemeClr val="accent2">
            <a:hueOff val="3221807"/>
            <a:satOff val="-9246"/>
            <a:lumOff val="-14805"/>
            <a:alphaOff val="0"/>
          </a:schemeClr>
        </a:solidFill>
        <a:ln w="19050" cap="flat" cmpd="sng" algn="ctr">
          <a:solidFill>
            <a:schemeClr val="accent2">
              <a:hueOff val="3221807"/>
              <a:satOff val="-9246"/>
              <a:lumOff val="-14805"/>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64A5E0B-7A0B-45A4-B467-F1B83E2F6A56}">
      <dsp:nvSpPr>
        <dsp:cNvPr id="0" name=""/>
        <dsp:cNvSpPr/>
      </dsp:nvSpPr>
      <dsp:spPr>
        <a:xfrm>
          <a:off x="1203240" y="1451103"/>
          <a:ext cx="101297" cy="101297"/>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BCED990D-EE8B-465E-A3A9-A38637BB38BE}">
      <dsp:nvSpPr>
        <dsp:cNvPr id="0" name=""/>
        <dsp:cNvSpPr/>
      </dsp:nvSpPr>
      <dsp:spPr>
        <a:xfrm>
          <a:off x="1345977" y="885467"/>
          <a:ext cx="1929898" cy="52419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95250" rIns="0" bIns="63500" numCol="1" spcCol="1270" anchor="b" anchorCtr="0">
          <a:noAutofit/>
        </a:bodyPr>
        <a:lstStyle/>
        <a:p>
          <a:pPr marL="0" lvl="0" indent="0" algn="l" defTabSz="444500">
            <a:lnSpc>
              <a:spcPct val="90000"/>
            </a:lnSpc>
            <a:spcBef>
              <a:spcPct val="0"/>
            </a:spcBef>
            <a:spcAft>
              <a:spcPct val="35000"/>
            </a:spcAft>
            <a:buNone/>
          </a:pPr>
          <a:r>
            <a:rPr lang="en-US" sz="1000" b="1" kern="1200" dirty="0"/>
            <a:t>Current Assets – $</a:t>
          </a:r>
          <a:r>
            <a:rPr lang="en-AU" sz="1000" b="1" kern="1200" dirty="0"/>
            <a:t>585.4</a:t>
          </a:r>
          <a:r>
            <a:rPr lang="en-US" sz="1000" b="1" kern="1200" dirty="0"/>
            <a:t>m</a:t>
          </a:r>
        </a:p>
        <a:p>
          <a:pPr marL="0" lvl="0" indent="0" algn="l" defTabSz="444500">
            <a:lnSpc>
              <a:spcPct val="90000"/>
            </a:lnSpc>
            <a:spcBef>
              <a:spcPct val="0"/>
            </a:spcBef>
            <a:spcAft>
              <a:spcPct val="35000"/>
            </a:spcAft>
            <a:buNone/>
          </a:pPr>
          <a:r>
            <a:rPr lang="en-US" sz="1000" b="1" kern="1200" dirty="0"/>
            <a:t>Current Liabilities -$640.7m</a:t>
          </a:r>
        </a:p>
      </dsp:txBody>
      <dsp:txXfrm>
        <a:off x="1345977" y="885467"/>
        <a:ext cx="1929898" cy="524196"/>
      </dsp:txXfrm>
    </dsp:sp>
    <dsp:sp modelId="{D48ECBF0-BF5E-4F4C-BEBB-7B1DFB0E158F}">
      <dsp:nvSpPr>
        <dsp:cNvPr id="0" name=""/>
        <dsp:cNvSpPr/>
      </dsp:nvSpPr>
      <dsp:spPr>
        <a:xfrm>
          <a:off x="1345977" y="1409663"/>
          <a:ext cx="1929898" cy="18417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2023</a:t>
          </a:r>
        </a:p>
      </dsp:txBody>
      <dsp:txXfrm>
        <a:off x="1345977" y="1409663"/>
        <a:ext cx="1929898" cy="184177"/>
      </dsp:txXfrm>
    </dsp:sp>
    <dsp:sp modelId="{8BC7690D-7CB6-4DE4-B337-6107980C25B0}">
      <dsp:nvSpPr>
        <dsp:cNvPr id="0" name=""/>
        <dsp:cNvSpPr/>
      </dsp:nvSpPr>
      <dsp:spPr>
        <a:xfrm>
          <a:off x="1253889" y="885467"/>
          <a:ext cx="0" cy="524196"/>
        </a:xfrm>
        <a:prstGeom prst="line">
          <a:avLst/>
        </a:prstGeom>
        <a:noFill/>
        <a:ln w="12700" cap="flat" cmpd="sng" algn="ctr">
          <a:solidFill>
            <a:schemeClr val="accent2">
              <a:hueOff val="-5184504"/>
              <a:satOff val="-10204"/>
              <a:lumOff val="6372"/>
              <a:alphaOff val="0"/>
            </a:schemeClr>
          </a:solidFill>
          <a:prstDash val="dash"/>
          <a:miter lim="800000"/>
        </a:ln>
        <a:effectLst/>
      </dsp:spPr>
      <dsp:style>
        <a:lnRef idx="1">
          <a:scrgbClr r="0" g="0" b="0"/>
        </a:lnRef>
        <a:fillRef idx="0">
          <a:scrgbClr r="0" g="0" b="0"/>
        </a:fillRef>
        <a:effectRef idx="0">
          <a:scrgbClr r="0" g="0" b="0"/>
        </a:effectRef>
        <a:fontRef idx="minor"/>
      </dsp:style>
    </dsp:sp>
    <dsp:sp modelId="{E91B32C5-7A88-4B22-8A1A-A24F567D35EF}">
      <dsp:nvSpPr>
        <dsp:cNvPr id="0" name=""/>
        <dsp:cNvSpPr/>
      </dsp:nvSpPr>
      <dsp:spPr>
        <a:xfrm>
          <a:off x="1236986" y="868891"/>
          <a:ext cx="33151" cy="33151"/>
        </a:xfrm>
        <a:prstGeom prst="ellipse">
          <a:avLst/>
        </a:prstGeom>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4402B34F-5283-417E-91E4-E66CEE0F872B}">
      <dsp:nvSpPr>
        <dsp:cNvPr id="0" name=""/>
        <dsp:cNvSpPr/>
      </dsp:nvSpPr>
      <dsp:spPr>
        <a:xfrm rot="8100000">
          <a:off x="2347217" y="204065"/>
          <a:ext cx="130232" cy="130232"/>
        </a:xfrm>
        <a:prstGeom prst="teardrop">
          <a:avLst>
            <a:gd name="adj" fmla="val 115000"/>
          </a:avLst>
        </a:prstGeom>
        <a:solidFill>
          <a:schemeClr val="accent2">
            <a:hueOff val="6443614"/>
            <a:satOff val="-18493"/>
            <a:lumOff val="-29609"/>
            <a:alphaOff val="0"/>
          </a:schemeClr>
        </a:solidFill>
        <a:ln w="19050" cap="flat" cmpd="sng" algn="ctr">
          <a:solidFill>
            <a:schemeClr val="accent2">
              <a:hueOff val="6443614"/>
              <a:satOff val="-18493"/>
              <a:lumOff val="-29609"/>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064D01D-BEF3-4F2C-B0FE-483EB1435925}">
      <dsp:nvSpPr>
        <dsp:cNvPr id="0" name=""/>
        <dsp:cNvSpPr/>
      </dsp:nvSpPr>
      <dsp:spPr>
        <a:xfrm>
          <a:off x="2361684" y="218533"/>
          <a:ext cx="101297" cy="101297"/>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80EBD3E0-9274-4943-B4F3-4BAD315FF1C8}">
      <dsp:nvSpPr>
        <dsp:cNvPr id="0" name=""/>
        <dsp:cNvSpPr/>
      </dsp:nvSpPr>
      <dsp:spPr>
        <a:xfrm>
          <a:off x="2504422" y="361270"/>
          <a:ext cx="1929898" cy="52419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dirty="0"/>
            <a:t>Current Assets – $</a:t>
          </a:r>
          <a:r>
            <a:rPr lang="en-AU" sz="1000" b="1" kern="1200" dirty="0"/>
            <a:t>584.4</a:t>
          </a:r>
          <a:r>
            <a:rPr lang="en-US" sz="1000" b="1" kern="1200" dirty="0"/>
            <a:t>m</a:t>
          </a:r>
        </a:p>
        <a:p>
          <a:pPr marL="0" lvl="0" indent="0" algn="l" defTabSz="444500">
            <a:lnSpc>
              <a:spcPct val="90000"/>
            </a:lnSpc>
            <a:spcBef>
              <a:spcPct val="0"/>
            </a:spcBef>
            <a:spcAft>
              <a:spcPct val="35000"/>
            </a:spcAft>
            <a:buNone/>
          </a:pPr>
          <a:r>
            <a:rPr lang="en-US" sz="1000" b="1" kern="1200" dirty="0"/>
            <a:t>Current Liabilities -$646.3m</a:t>
          </a:r>
        </a:p>
      </dsp:txBody>
      <dsp:txXfrm>
        <a:off x="2504422" y="361270"/>
        <a:ext cx="1929898" cy="524196"/>
      </dsp:txXfrm>
    </dsp:sp>
    <dsp:sp modelId="{C553DA49-5B91-4DDB-A52C-9086FB221A05}">
      <dsp:nvSpPr>
        <dsp:cNvPr id="0" name=""/>
        <dsp:cNvSpPr/>
      </dsp:nvSpPr>
      <dsp:spPr>
        <a:xfrm>
          <a:off x="2504422" y="177093"/>
          <a:ext cx="1929898" cy="18417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2024</a:t>
          </a:r>
        </a:p>
      </dsp:txBody>
      <dsp:txXfrm>
        <a:off x="2504422" y="177093"/>
        <a:ext cx="1929898" cy="184177"/>
      </dsp:txXfrm>
    </dsp:sp>
    <dsp:sp modelId="{FACCC1AA-CD2F-4D01-A501-4B5252FB01C8}">
      <dsp:nvSpPr>
        <dsp:cNvPr id="0" name=""/>
        <dsp:cNvSpPr/>
      </dsp:nvSpPr>
      <dsp:spPr>
        <a:xfrm>
          <a:off x="2412333" y="361270"/>
          <a:ext cx="0" cy="524196"/>
        </a:xfrm>
        <a:prstGeom prst="line">
          <a:avLst/>
        </a:prstGeom>
        <a:noFill/>
        <a:ln w="12700" cap="flat" cmpd="sng" algn="ctr">
          <a:solidFill>
            <a:schemeClr val="accent2">
              <a:hueOff val="-10369007"/>
              <a:satOff val="-20408"/>
              <a:lumOff val="12745"/>
              <a:alphaOff val="0"/>
            </a:schemeClr>
          </a:solidFill>
          <a:prstDash val="dash"/>
          <a:miter lim="800000"/>
        </a:ln>
        <a:effectLst/>
      </dsp:spPr>
      <dsp:style>
        <a:lnRef idx="1">
          <a:scrgbClr r="0" g="0" b="0"/>
        </a:lnRef>
        <a:fillRef idx="0">
          <a:scrgbClr r="0" g="0" b="0"/>
        </a:fillRef>
        <a:effectRef idx="0">
          <a:scrgbClr r="0" g="0" b="0"/>
        </a:effectRef>
        <a:fontRef idx="minor"/>
      </dsp:style>
    </dsp:sp>
    <dsp:sp modelId="{2C421BBC-6C0C-4982-BAAE-A8B45E04650A}">
      <dsp:nvSpPr>
        <dsp:cNvPr id="0" name=""/>
        <dsp:cNvSpPr/>
      </dsp:nvSpPr>
      <dsp:spPr>
        <a:xfrm>
          <a:off x="2395430" y="868891"/>
          <a:ext cx="33151" cy="33151"/>
        </a:xfrm>
        <a:prstGeom prst="ellipse">
          <a:avLst/>
        </a:prstGeom>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A095DE8-F9A3-40E1-8B84-EF793B99507A}">
      <dsp:nvSpPr>
        <dsp:cNvPr id="0" name=""/>
        <dsp:cNvSpPr/>
      </dsp:nvSpPr>
      <dsp:spPr>
        <a:xfrm>
          <a:off x="0" y="796522"/>
          <a:ext cx="5117699" cy="0"/>
        </a:xfrm>
        <a:prstGeom prst="line">
          <a:avLst/>
        </a:prstGeom>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sp:spPr>
      <dsp:style>
        <a:lnRef idx="2">
          <a:scrgbClr r="0" g="0" b="0"/>
        </a:lnRef>
        <a:fillRef idx="1">
          <a:scrgbClr r="0" g="0" b="0"/>
        </a:fillRef>
        <a:effectRef idx="0">
          <a:scrgbClr r="0" g="0" b="0"/>
        </a:effectRef>
        <a:fontRef idx="minor"/>
      </dsp:style>
    </dsp:sp>
    <dsp:sp modelId="{3403B9FF-17CF-4B68-BB83-C82F37730563}">
      <dsp:nvSpPr>
        <dsp:cNvPr id="0" name=""/>
        <dsp:cNvSpPr/>
      </dsp:nvSpPr>
      <dsp:spPr>
        <a:xfrm rot="8100000">
          <a:off x="25461" y="183567"/>
          <a:ext cx="117151" cy="117151"/>
        </a:xfrm>
        <a:prstGeom prst="teardrop">
          <a:avLst>
            <a:gd name="adj" fmla="val 115000"/>
          </a:avLst>
        </a:prstGeom>
        <a:solidFill>
          <a:schemeClr val="accent2">
            <a:hueOff val="0"/>
            <a:satOff val="0"/>
            <a:lumOff val="0"/>
            <a:alphaOff val="0"/>
          </a:schemeClr>
        </a:solidFill>
        <a:ln w="1905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A50ECD3-605C-442F-97FC-D68600032CFA}">
      <dsp:nvSpPr>
        <dsp:cNvPr id="0" name=""/>
        <dsp:cNvSpPr/>
      </dsp:nvSpPr>
      <dsp:spPr>
        <a:xfrm>
          <a:off x="38475" y="196581"/>
          <a:ext cx="91122" cy="91122"/>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24C10D8C-314A-4E60-B6B0-1E5086AF8241}">
      <dsp:nvSpPr>
        <dsp:cNvPr id="0" name=""/>
        <dsp:cNvSpPr/>
      </dsp:nvSpPr>
      <dsp:spPr>
        <a:xfrm>
          <a:off x="166875" y="324981"/>
          <a:ext cx="2125947" cy="47154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dirty="0"/>
            <a:t>Total Liabilities - $2283.2m</a:t>
          </a:r>
        </a:p>
        <a:p>
          <a:pPr marL="0" lvl="0" indent="0" algn="l" defTabSz="444500">
            <a:lnSpc>
              <a:spcPct val="90000"/>
            </a:lnSpc>
            <a:spcBef>
              <a:spcPct val="0"/>
            </a:spcBef>
            <a:spcAft>
              <a:spcPct val="35000"/>
            </a:spcAft>
            <a:buNone/>
          </a:pPr>
          <a:r>
            <a:rPr lang="en-US" sz="1000" b="1" kern="1200" dirty="0"/>
            <a:t>Total Equity - $267.4m</a:t>
          </a:r>
        </a:p>
      </dsp:txBody>
      <dsp:txXfrm>
        <a:off x="166875" y="324981"/>
        <a:ext cx="2125947" cy="471541"/>
      </dsp:txXfrm>
    </dsp:sp>
    <dsp:sp modelId="{06B2E776-DA5C-4D7F-97F2-56D4770AD4DC}">
      <dsp:nvSpPr>
        <dsp:cNvPr id="0" name=""/>
        <dsp:cNvSpPr/>
      </dsp:nvSpPr>
      <dsp:spPr>
        <a:xfrm>
          <a:off x="166875" y="159304"/>
          <a:ext cx="2125947" cy="1656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a:t>2022</a:t>
          </a:r>
        </a:p>
      </dsp:txBody>
      <dsp:txXfrm>
        <a:off x="166875" y="159304"/>
        <a:ext cx="2125947" cy="165676"/>
      </dsp:txXfrm>
    </dsp:sp>
    <dsp:sp modelId="{C29F99BD-AEAE-4407-B8E4-CD18C282CA15}">
      <dsp:nvSpPr>
        <dsp:cNvPr id="0" name=""/>
        <dsp:cNvSpPr/>
      </dsp:nvSpPr>
      <dsp:spPr>
        <a:xfrm>
          <a:off x="84037" y="324981"/>
          <a:ext cx="0" cy="471541"/>
        </a:xfrm>
        <a:prstGeom prst="line">
          <a:avLst/>
        </a:prstGeom>
        <a:noFill/>
        <a:ln w="12700" cap="flat" cmpd="sng" algn="ctr">
          <a:solidFill>
            <a:schemeClr val="accent2">
              <a:hueOff val="0"/>
              <a:satOff val="0"/>
              <a:lumOff val="0"/>
              <a:alphaOff val="0"/>
            </a:schemeClr>
          </a:solidFill>
          <a:prstDash val="dash"/>
          <a:miter lim="800000"/>
        </a:ln>
        <a:effectLst/>
      </dsp:spPr>
      <dsp:style>
        <a:lnRef idx="1">
          <a:scrgbClr r="0" g="0" b="0"/>
        </a:lnRef>
        <a:fillRef idx="0">
          <a:scrgbClr r="0" g="0" b="0"/>
        </a:fillRef>
        <a:effectRef idx="0">
          <a:scrgbClr r="0" g="0" b="0"/>
        </a:effectRef>
        <a:fontRef idx="minor"/>
      </dsp:style>
    </dsp:sp>
    <dsp:sp modelId="{892071EC-EAF3-40D0-8A85-AD3904426183}">
      <dsp:nvSpPr>
        <dsp:cNvPr id="0" name=""/>
        <dsp:cNvSpPr/>
      </dsp:nvSpPr>
      <dsp:spPr>
        <a:xfrm>
          <a:off x="69126" y="781611"/>
          <a:ext cx="29821" cy="29821"/>
        </a:xfrm>
        <a:prstGeom prst="ellipse">
          <a:avLst/>
        </a:prstGeom>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642C3C2D-2135-49EE-85E6-9D232B1856EE}">
      <dsp:nvSpPr>
        <dsp:cNvPr id="0" name=""/>
        <dsp:cNvSpPr/>
      </dsp:nvSpPr>
      <dsp:spPr>
        <a:xfrm rot="18900000">
          <a:off x="1302421" y="1292326"/>
          <a:ext cx="117151" cy="117151"/>
        </a:xfrm>
        <a:prstGeom prst="teardrop">
          <a:avLst>
            <a:gd name="adj" fmla="val 115000"/>
          </a:avLst>
        </a:prstGeom>
        <a:solidFill>
          <a:schemeClr val="accent2">
            <a:hueOff val="3221807"/>
            <a:satOff val="-9246"/>
            <a:lumOff val="-14805"/>
            <a:alphaOff val="0"/>
          </a:schemeClr>
        </a:solidFill>
        <a:ln w="19050" cap="flat" cmpd="sng" algn="ctr">
          <a:solidFill>
            <a:schemeClr val="accent2">
              <a:hueOff val="3221807"/>
              <a:satOff val="-9246"/>
              <a:lumOff val="-14805"/>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64A5E0B-7A0B-45A4-B467-F1B83E2F6A56}">
      <dsp:nvSpPr>
        <dsp:cNvPr id="0" name=""/>
        <dsp:cNvSpPr/>
      </dsp:nvSpPr>
      <dsp:spPr>
        <a:xfrm>
          <a:off x="1315435" y="1305341"/>
          <a:ext cx="91122" cy="91122"/>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BCED990D-EE8B-465E-A3A9-A38637BB38BE}">
      <dsp:nvSpPr>
        <dsp:cNvPr id="0" name=""/>
        <dsp:cNvSpPr/>
      </dsp:nvSpPr>
      <dsp:spPr>
        <a:xfrm>
          <a:off x="1443835" y="796522"/>
          <a:ext cx="2125947" cy="47154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95250" rIns="0" bIns="63500" numCol="1" spcCol="1270" anchor="b" anchorCtr="0">
          <a:noAutofit/>
        </a:bodyPr>
        <a:lstStyle/>
        <a:p>
          <a:pPr marL="0" lvl="0" indent="0" algn="l" defTabSz="444500">
            <a:lnSpc>
              <a:spcPct val="90000"/>
            </a:lnSpc>
            <a:spcBef>
              <a:spcPct val="0"/>
            </a:spcBef>
            <a:spcAft>
              <a:spcPct val="35000"/>
            </a:spcAft>
            <a:buNone/>
          </a:pPr>
          <a:r>
            <a:rPr lang="en-US" sz="1000" b="1" kern="1200" dirty="0"/>
            <a:t>Total Liabilities - $2196.3m</a:t>
          </a:r>
        </a:p>
        <a:p>
          <a:pPr marL="0" lvl="0" indent="0" algn="l" defTabSz="444500">
            <a:lnSpc>
              <a:spcPct val="90000"/>
            </a:lnSpc>
            <a:spcBef>
              <a:spcPct val="0"/>
            </a:spcBef>
            <a:spcAft>
              <a:spcPct val="35000"/>
            </a:spcAft>
            <a:buNone/>
          </a:pPr>
          <a:r>
            <a:rPr lang="en-US" sz="1000" b="1" kern="1200" dirty="0"/>
            <a:t>Total Equity - $240.5m</a:t>
          </a:r>
        </a:p>
      </dsp:txBody>
      <dsp:txXfrm>
        <a:off x="1443835" y="796522"/>
        <a:ext cx="2125947" cy="471541"/>
      </dsp:txXfrm>
    </dsp:sp>
    <dsp:sp modelId="{D48ECBF0-BF5E-4F4C-BEBB-7B1DFB0E158F}">
      <dsp:nvSpPr>
        <dsp:cNvPr id="0" name=""/>
        <dsp:cNvSpPr/>
      </dsp:nvSpPr>
      <dsp:spPr>
        <a:xfrm>
          <a:off x="1443835" y="1268063"/>
          <a:ext cx="2125947" cy="1656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2023</a:t>
          </a:r>
        </a:p>
      </dsp:txBody>
      <dsp:txXfrm>
        <a:off x="1443835" y="1268063"/>
        <a:ext cx="2125947" cy="165676"/>
      </dsp:txXfrm>
    </dsp:sp>
    <dsp:sp modelId="{8BC7690D-7CB6-4DE4-B337-6107980C25B0}">
      <dsp:nvSpPr>
        <dsp:cNvPr id="0" name=""/>
        <dsp:cNvSpPr/>
      </dsp:nvSpPr>
      <dsp:spPr>
        <a:xfrm>
          <a:off x="1360996" y="796522"/>
          <a:ext cx="0" cy="471541"/>
        </a:xfrm>
        <a:prstGeom prst="line">
          <a:avLst/>
        </a:prstGeom>
        <a:noFill/>
        <a:ln w="12700" cap="flat" cmpd="sng" algn="ctr">
          <a:solidFill>
            <a:schemeClr val="accent2">
              <a:hueOff val="-5184504"/>
              <a:satOff val="-10204"/>
              <a:lumOff val="6372"/>
              <a:alphaOff val="0"/>
            </a:schemeClr>
          </a:solidFill>
          <a:prstDash val="dash"/>
          <a:miter lim="800000"/>
        </a:ln>
        <a:effectLst/>
      </dsp:spPr>
      <dsp:style>
        <a:lnRef idx="1">
          <a:scrgbClr r="0" g="0" b="0"/>
        </a:lnRef>
        <a:fillRef idx="0">
          <a:scrgbClr r="0" g="0" b="0"/>
        </a:fillRef>
        <a:effectRef idx="0">
          <a:scrgbClr r="0" g="0" b="0"/>
        </a:effectRef>
        <a:fontRef idx="minor"/>
      </dsp:style>
    </dsp:sp>
    <dsp:sp modelId="{E91B32C5-7A88-4B22-8A1A-A24F567D35EF}">
      <dsp:nvSpPr>
        <dsp:cNvPr id="0" name=""/>
        <dsp:cNvSpPr/>
      </dsp:nvSpPr>
      <dsp:spPr>
        <a:xfrm>
          <a:off x="1346085" y="781611"/>
          <a:ext cx="29821" cy="29821"/>
        </a:xfrm>
        <a:prstGeom prst="ellipse">
          <a:avLst/>
        </a:prstGeom>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4402B34F-5283-417E-91E4-E66CEE0F872B}">
      <dsp:nvSpPr>
        <dsp:cNvPr id="0" name=""/>
        <dsp:cNvSpPr/>
      </dsp:nvSpPr>
      <dsp:spPr>
        <a:xfrm rot="8100000">
          <a:off x="2579380" y="183567"/>
          <a:ext cx="117151" cy="117151"/>
        </a:xfrm>
        <a:prstGeom prst="teardrop">
          <a:avLst>
            <a:gd name="adj" fmla="val 115000"/>
          </a:avLst>
        </a:prstGeom>
        <a:solidFill>
          <a:schemeClr val="accent2">
            <a:hueOff val="6443614"/>
            <a:satOff val="-18493"/>
            <a:lumOff val="-29609"/>
            <a:alphaOff val="0"/>
          </a:schemeClr>
        </a:solidFill>
        <a:ln w="19050" cap="flat" cmpd="sng" algn="ctr">
          <a:solidFill>
            <a:schemeClr val="accent2">
              <a:hueOff val="6443614"/>
              <a:satOff val="-18493"/>
              <a:lumOff val="-29609"/>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064D01D-BEF3-4F2C-B0FE-483EB1435925}">
      <dsp:nvSpPr>
        <dsp:cNvPr id="0" name=""/>
        <dsp:cNvSpPr/>
      </dsp:nvSpPr>
      <dsp:spPr>
        <a:xfrm>
          <a:off x="2592395" y="196581"/>
          <a:ext cx="91122" cy="91122"/>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80EBD3E0-9274-4943-B4F3-4BAD315FF1C8}">
      <dsp:nvSpPr>
        <dsp:cNvPr id="0" name=""/>
        <dsp:cNvSpPr/>
      </dsp:nvSpPr>
      <dsp:spPr>
        <a:xfrm>
          <a:off x="2720794" y="324981"/>
          <a:ext cx="2125947" cy="47154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dirty="0"/>
            <a:t>Total Liabilities - $2120.5m</a:t>
          </a:r>
        </a:p>
        <a:p>
          <a:pPr marL="0" lvl="0" indent="0" algn="l" defTabSz="444500">
            <a:lnSpc>
              <a:spcPct val="90000"/>
            </a:lnSpc>
            <a:spcBef>
              <a:spcPct val="0"/>
            </a:spcBef>
            <a:spcAft>
              <a:spcPct val="35000"/>
            </a:spcAft>
            <a:buNone/>
          </a:pPr>
          <a:r>
            <a:rPr lang="en-US" sz="1000" b="1" kern="1200" dirty="0"/>
            <a:t>Total Equity - $255m</a:t>
          </a:r>
        </a:p>
      </dsp:txBody>
      <dsp:txXfrm>
        <a:off x="2720794" y="324981"/>
        <a:ext cx="2125947" cy="471541"/>
      </dsp:txXfrm>
    </dsp:sp>
    <dsp:sp modelId="{C553DA49-5B91-4DDB-A52C-9086FB221A05}">
      <dsp:nvSpPr>
        <dsp:cNvPr id="0" name=""/>
        <dsp:cNvSpPr/>
      </dsp:nvSpPr>
      <dsp:spPr>
        <a:xfrm>
          <a:off x="2720794" y="159304"/>
          <a:ext cx="2125947" cy="1656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2024</a:t>
          </a:r>
        </a:p>
      </dsp:txBody>
      <dsp:txXfrm>
        <a:off x="2720794" y="159304"/>
        <a:ext cx="2125947" cy="165676"/>
      </dsp:txXfrm>
    </dsp:sp>
    <dsp:sp modelId="{FACCC1AA-CD2F-4D01-A501-4B5252FB01C8}">
      <dsp:nvSpPr>
        <dsp:cNvPr id="0" name=""/>
        <dsp:cNvSpPr/>
      </dsp:nvSpPr>
      <dsp:spPr>
        <a:xfrm>
          <a:off x="2637956" y="324981"/>
          <a:ext cx="0" cy="471541"/>
        </a:xfrm>
        <a:prstGeom prst="line">
          <a:avLst/>
        </a:prstGeom>
        <a:noFill/>
        <a:ln w="12700" cap="flat" cmpd="sng" algn="ctr">
          <a:solidFill>
            <a:schemeClr val="accent2">
              <a:hueOff val="-10369007"/>
              <a:satOff val="-20408"/>
              <a:lumOff val="12745"/>
              <a:alphaOff val="0"/>
            </a:schemeClr>
          </a:solidFill>
          <a:prstDash val="dash"/>
          <a:miter lim="800000"/>
        </a:ln>
        <a:effectLst/>
      </dsp:spPr>
      <dsp:style>
        <a:lnRef idx="1">
          <a:scrgbClr r="0" g="0" b="0"/>
        </a:lnRef>
        <a:fillRef idx="0">
          <a:scrgbClr r="0" g="0" b="0"/>
        </a:fillRef>
        <a:effectRef idx="0">
          <a:scrgbClr r="0" g="0" b="0"/>
        </a:effectRef>
        <a:fontRef idx="minor"/>
      </dsp:style>
    </dsp:sp>
    <dsp:sp modelId="{2C421BBC-6C0C-4982-BAAE-A8B45E04650A}">
      <dsp:nvSpPr>
        <dsp:cNvPr id="0" name=""/>
        <dsp:cNvSpPr/>
      </dsp:nvSpPr>
      <dsp:spPr>
        <a:xfrm>
          <a:off x="2623045" y="781611"/>
          <a:ext cx="29821" cy="29821"/>
        </a:xfrm>
        <a:prstGeom prst="ellipse">
          <a:avLst/>
        </a:prstGeom>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A095DE8-F9A3-40E1-8B84-EF793B99507A}">
      <dsp:nvSpPr>
        <dsp:cNvPr id="0" name=""/>
        <dsp:cNvSpPr/>
      </dsp:nvSpPr>
      <dsp:spPr>
        <a:xfrm>
          <a:off x="0" y="774101"/>
          <a:ext cx="5490054" cy="0"/>
        </a:xfrm>
        <a:prstGeom prst="line">
          <a:avLst/>
        </a:prstGeom>
        <a:solidFill>
          <a:schemeClr val="lt1">
            <a:alpha val="90000"/>
            <a:hueOff val="0"/>
            <a:satOff val="0"/>
            <a:lumOff val="0"/>
            <a:alphaOff val="0"/>
          </a:schemeClr>
        </a:solidFill>
        <a:ln w="19050" cap="flat" cmpd="sng" algn="ctr">
          <a:solidFill>
            <a:schemeClr val="accent2">
              <a:hueOff val="0"/>
              <a:satOff val="0"/>
              <a:lumOff val="0"/>
              <a:alphaOff val="0"/>
            </a:schemeClr>
          </a:solidFill>
          <a:prstDash val="solid"/>
          <a:miter lim="800000"/>
          <a:tailEnd type="triangle" w="lg" len="lg"/>
        </a:ln>
        <a:effectLst/>
      </dsp:spPr>
      <dsp:style>
        <a:lnRef idx="2">
          <a:scrgbClr r="0" g="0" b="0"/>
        </a:lnRef>
        <a:fillRef idx="1">
          <a:scrgbClr r="0" g="0" b="0"/>
        </a:fillRef>
        <a:effectRef idx="0">
          <a:scrgbClr r="0" g="0" b="0"/>
        </a:effectRef>
        <a:fontRef idx="minor"/>
      </dsp:style>
    </dsp:sp>
    <dsp:sp modelId="{3403B9FF-17CF-4B68-BB83-C82F37730563}">
      <dsp:nvSpPr>
        <dsp:cNvPr id="0" name=""/>
        <dsp:cNvSpPr/>
      </dsp:nvSpPr>
      <dsp:spPr>
        <a:xfrm rot="8100000">
          <a:off x="23739" y="178400"/>
          <a:ext cx="113853" cy="113853"/>
        </a:xfrm>
        <a:prstGeom prst="teardrop">
          <a:avLst>
            <a:gd name="adj" fmla="val 115000"/>
          </a:avLst>
        </a:prstGeom>
        <a:solidFill>
          <a:schemeClr val="accent2">
            <a:hueOff val="0"/>
            <a:satOff val="0"/>
            <a:lumOff val="0"/>
            <a:alphaOff val="0"/>
          </a:schemeClr>
        </a:solidFill>
        <a:ln w="1905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A50ECD3-605C-442F-97FC-D68600032CFA}">
      <dsp:nvSpPr>
        <dsp:cNvPr id="0" name=""/>
        <dsp:cNvSpPr/>
      </dsp:nvSpPr>
      <dsp:spPr>
        <a:xfrm>
          <a:off x="36387" y="191048"/>
          <a:ext cx="88557" cy="88557"/>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24C10D8C-314A-4E60-B6B0-1E5086AF8241}">
      <dsp:nvSpPr>
        <dsp:cNvPr id="0" name=""/>
        <dsp:cNvSpPr/>
      </dsp:nvSpPr>
      <dsp:spPr>
        <a:xfrm>
          <a:off x="161172" y="315833"/>
          <a:ext cx="2281251" cy="45826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a:t>Total Shares Issued - 821.3m</a:t>
          </a:r>
        </a:p>
        <a:p>
          <a:pPr marL="0" lvl="0" indent="0" algn="l" defTabSz="444500">
            <a:lnSpc>
              <a:spcPct val="90000"/>
            </a:lnSpc>
            <a:spcBef>
              <a:spcPct val="0"/>
            </a:spcBef>
            <a:spcAft>
              <a:spcPct val="35000"/>
            </a:spcAft>
            <a:buNone/>
          </a:pPr>
          <a:r>
            <a:rPr lang="en-US" sz="1000" b="1" kern="1200"/>
            <a:t>Dividends - 4c/share</a:t>
          </a:r>
        </a:p>
      </dsp:txBody>
      <dsp:txXfrm>
        <a:off x="161172" y="315833"/>
        <a:ext cx="2281251" cy="458268"/>
      </dsp:txXfrm>
    </dsp:sp>
    <dsp:sp modelId="{06B2E776-DA5C-4D7F-97F2-56D4770AD4DC}">
      <dsp:nvSpPr>
        <dsp:cNvPr id="0" name=""/>
        <dsp:cNvSpPr/>
      </dsp:nvSpPr>
      <dsp:spPr>
        <a:xfrm>
          <a:off x="161172" y="154820"/>
          <a:ext cx="2281251" cy="161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a:t>2022</a:t>
          </a:r>
        </a:p>
      </dsp:txBody>
      <dsp:txXfrm>
        <a:off x="161172" y="154820"/>
        <a:ext cx="2281251" cy="161013"/>
      </dsp:txXfrm>
    </dsp:sp>
    <dsp:sp modelId="{C29F99BD-AEAE-4407-B8E4-CD18C282CA15}">
      <dsp:nvSpPr>
        <dsp:cNvPr id="0" name=""/>
        <dsp:cNvSpPr/>
      </dsp:nvSpPr>
      <dsp:spPr>
        <a:xfrm>
          <a:off x="80665" y="315833"/>
          <a:ext cx="0" cy="458268"/>
        </a:xfrm>
        <a:prstGeom prst="line">
          <a:avLst/>
        </a:prstGeom>
        <a:noFill/>
        <a:ln w="12700" cap="flat" cmpd="sng" algn="ctr">
          <a:solidFill>
            <a:schemeClr val="accent2">
              <a:hueOff val="0"/>
              <a:satOff val="0"/>
              <a:lumOff val="0"/>
              <a:alphaOff val="0"/>
            </a:schemeClr>
          </a:solidFill>
          <a:prstDash val="dash"/>
          <a:miter lim="800000"/>
        </a:ln>
        <a:effectLst/>
      </dsp:spPr>
      <dsp:style>
        <a:lnRef idx="1">
          <a:scrgbClr r="0" g="0" b="0"/>
        </a:lnRef>
        <a:fillRef idx="0">
          <a:scrgbClr r="0" g="0" b="0"/>
        </a:fillRef>
        <a:effectRef idx="0">
          <a:scrgbClr r="0" g="0" b="0"/>
        </a:effectRef>
        <a:fontRef idx="minor"/>
      </dsp:style>
    </dsp:sp>
    <dsp:sp modelId="{892071EC-EAF3-40D0-8A85-AD3904426183}">
      <dsp:nvSpPr>
        <dsp:cNvPr id="0" name=""/>
        <dsp:cNvSpPr/>
      </dsp:nvSpPr>
      <dsp:spPr>
        <a:xfrm>
          <a:off x="66174" y="759610"/>
          <a:ext cx="28982" cy="28982"/>
        </a:xfrm>
        <a:prstGeom prst="ellipse">
          <a:avLst/>
        </a:prstGeom>
        <a:solidFill>
          <a:schemeClr val="accent2">
            <a:hueOff val="0"/>
            <a:satOff val="0"/>
            <a:lumOff val="0"/>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642C3C2D-2135-49EE-85E6-9D232B1856EE}">
      <dsp:nvSpPr>
        <dsp:cNvPr id="0" name=""/>
        <dsp:cNvSpPr/>
      </dsp:nvSpPr>
      <dsp:spPr>
        <a:xfrm rot="18900000">
          <a:off x="1394359" y="1255949"/>
          <a:ext cx="113853" cy="113853"/>
        </a:xfrm>
        <a:prstGeom prst="teardrop">
          <a:avLst>
            <a:gd name="adj" fmla="val 115000"/>
          </a:avLst>
        </a:prstGeom>
        <a:solidFill>
          <a:schemeClr val="accent2">
            <a:hueOff val="3221807"/>
            <a:satOff val="-9246"/>
            <a:lumOff val="-14805"/>
            <a:alphaOff val="0"/>
          </a:schemeClr>
        </a:solidFill>
        <a:ln w="19050" cap="flat" cmpd="sng" algn="ctr">
          <a:solidFill>
            <a:schemeClr val="accent2">
              <a:hueOff val="3221807"/>
              <a:satOff val="-9246"/>
              <a:lumOff val="-14805"/>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64A5E0B-7A0B-45A4-B467-F1B83E2F6A56}">
      <dsp:nvSpPr>
        <dsp:cNvPr id="0" name=""/>
        <dsp:cNvSpPr/>
      </dsp:nvSpPr>
      <dsp:spPr>
        <a:xfrm>
          <a:off x="1407007" y="1268597"/>
          <a:ext cx="88557" cy="88557"/>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BCED990D-EE8B-465E-A3A9-A38637BB38BE}">
      <dsp:nvSpPr>
        <dsp:cNvPr id="0" name=""/>
        <dsp:cNvSpPr/>
      </dsp:nvSpPr>
      <dsp:spPr>
        <a:xfrm>
          <a:off x="1531792" y="774101"/>
          <a:ext cx="2281251" cy="45826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95250" rIns="0" bIns="63500" numCol="1" spcCol="1270" anchor="b" anchorCtr="0">
          <a:noAutofit/>
        </a:bodyPr>
        <a:lstStyle/>
        <a:p>
          <a:pPr marL="0" lvl="0" indent="0" algn="l" defTabSz="444500">
            <a:lnSpc>
              <a:spcPct val="90000"/>
            </a:lnSpc>
            <a:spcBef>
              <a:spcPct val="0"/>
            </a:spcBef>
            <a:spcAft>
              <a:spcPct val="35000"/>
            </a:spcAft>
            <a:buNone/>
          </a:pPr>
          <a:r>
            <a:rPr lang="en-US" sz="1000" b="1" kern="1200"/>
            <a:t>Total Shares Issued - 821.3m</a:t>
          </a:r>
          <a:endParaRPr lang="en-US" sz="1000" b="1" kern="1200" dirty="0"/>
        </a:p>
        <a:p>
          <a:pPr marL="0" lvl="0" indent="0" algn="l" defTabSz="444500">
            <a:lnSpc>
              <a:spcPct val="90000"/>
            </a:lnSpc>
            <a:spcBef>
              <a:spcPct val="0"/>
            </a:spcBef>
            <a:spcAft>
              <a:spcPct val="35000"/>
            </a:spcAft>
            <a:buNone/>
          </a:pPr>
          <a:r>
            <a:rPr lang="en-US" sz="1000" b="1" kern="1200" dirty="0"/>
            <a:t>Dividends - 9c/share</a:t>
          </a:r>
        </a:p>
      </dsp:txBody>
      <dsp:txXfrm>
        <a:off x="1531792" y="774101"/>
        <a:ext cx="2281251" cy="458268"/>
      </dsp:txXfrm>
    </dsp:sp>
    <dsp:sp modelId="{D48ECBF0-BF5E-4F4C-BEBB-7B1DFB0E158F}">
      <dsp:nvSpPr>
        <dsp:cNvPr id="0" name=""/>
        <dsp:cNvSpPr/>
      </dsp:nvSpPr>
      <dsp:spPr>
        <a:xfrm>
          <a:off x="1531792" y="1232369"/>
          <a:ext cx="2281251" cy="161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2023</a:t>
          </a:r>
        </a:p>
      </dsp:txBody>
      <dsp:txXfrm>
        <a:off x="1531792" y="1232369"/>
        <a:ext cx="2281251" cy="161013"/>
      </dsp:txXfrm>
    </dsp:sp>
    <dsp:sp modelId="{8BC7690D-7CB6-4DE4-B337-6107980C25B0}">
      <dsp:nvSpPr>
        <dsp:cNvPr id="0" name=""/>
        <dsp:cNvSpPr/>
      </dsp:nvSpPr>
      <dsp:spPr>
        <a:xfrm>
          <a:off x="1451286" y="774101"/>
          <a:ext cx="0" cy="458268"/>
        </a:xfrm>
        <a:prstGeom prst="line">
          <a:avLst/>
        </a:prstGeom>
        <a:noFill/>
        <a:ln w="12700" cap="flat" cmpd="sng" algn="ctr">
          <a:solidFill>
            <a:schemeClr val="accent2">
              <a:hueOff val="-5184504"/>
              <a:satOff val="-10204"/>
              <a:lumOff val="6372"/>
              <a:alphaOff val="0"/>
            </a:schemeClr>
          </a:solidFill>
          <a:prstDash val="dash"/>
          <a:miter lim="800000"/>
        </a:ln>
        <a:effectLst/>
      </dsp:spPr>
      <dsp:style>
        <a:lnRef idx="1">
          <a:scrgbClr r="0" g="0" b="0"/>
        </a:lnRef>
        <a:fillRef idx="0">
          <a:scrgbClr r="0" g="0" b="0"/>
        </a:fillRef>
        <a:effectRef idx="0">
          <a:scrgbClr r="0" g="0" b="0"/>
        </a:effectRef>
        <a:fontRef idx="minor"/>
      </dsp:style>
    </dsp:sp>
    <dsp:sp modelId="{E91B32C5-7A88-4B22-8A1A-A24F567D35EF}">
      <dsp:nvSpPr>
        <dsp:cNvPr id="0" name=""/>
        <dsp:cNvSpPr/>
      </dsp:nvSpPr>
      <dsp:spPr>
        <a:xfrm>
          <a:off x="1436795" y="759610"/>
          <a:ext cx="28982" cy="28982"/>
        </a:xfrm>
        <a:prstGeom prst="ellipse">
          <a:avLst/>
        </a:prstGeom>
        <a:solidFill>
          <a:schemeClr val="accent2">
            <a:hueOff val="-5184504"/>
            <a:satOff val="-10204"/>
            <a:lumOff val="6372"/>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4402B34F-5283-417E-91E4-E66CEE0F872B}">
      <dsp:nvSpPr>
        <dsp:cNvPr id="0" name=""/>
        <dsp:cNvSpPr/>
      </dsp:nvSpPr>
      <dsp:spPr>
        <a:xfrm rot="8100000">
          <a:off x="2764979" y="178400"/>
          <a:ext cx="113853" cy="113853"/>
        </a:xfrm>
        <a:prstGeom prst="teardrop">
          <a:avLst>
            <a:gd name="adj" fmla="val 115000"/>
          </a:avLst>
        </a:prstGeom>
        <a:solidFill>
          <a:schemeClr val="accent2">
            <a:hueOff val="6443614"/>
            <a:satOff val="-18493"/>
            <a:lumOff val="-29609"/>
            <a:alphaOff val="0"/>
          </a:schemeClr>
        </a:solidFill>
        <a:ln w="19050" cap="flat" cmpd="sng" algn="ctr">
          <a:solidFill>
            <a:schemeClr val="accent2">
              <a:hueOff val="6443614"/>
              <a:satOff val="-18493"/>
              <a:lumOff val="-29609"/>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064D01D-BEF3-4F2C-B0FE-483EB1435925}">
      <dsp:nvSpPr>
        <dsp:cNvPr id="0" name=""/>
        <dsp:cNvSpPr/>
      </dsp:nvSpPr>
      <dsp:spPr>
        <a:xfrm>
          <a:off x="2777628" y="191048"/>
          <a:ext cx="88557" cy="88557"/>
        </a:xfrm>
        <a:prstGeom prst="ellipse">
          <a:avLst/>
        </a:prstGeom>
        <a:solidFill>
          <a:schemeClr val="lt1">
            <a:alpha val="90000"/>
            <a:hueOff val="0"/>
            <a:satOff val="0"/>
            <a:lumOff val="0"/>
            <a:alphaOff val="0"/>
          </a:schemeClr>
        </a:solidFill>
        <a:ln w="19050" cap="flat" cmpd="sng" algn="ctr">
          <a:noFill/>
          <a:prstDash val="solid"/>
          <a:miter lim="800000"/>
        </a:ln>
        <a:effectLst/>
      </dsp:spPr>
      <dsp:style>
        <a:lnRef idx="2">
          <a:scrgbClr r="0" g="0" b="0"/>
        </a:lnRef>
        <a:fillRef idx="1">
          <a:scrgbClr r="0" g="0" b="0"/>
        </a:fillRef>
        <a:effectRef idx="0">
          <a:scrgbClr r="0" g="0" b="0"/>
        </a:effectRef>
        <a:fontRef idx="minor"/>
      </dsp:style>
    </dsp:sp>
    <dsp:sp modelId="{80EBD3E0-9274-4943-B4F3-4BAD315FF1C8}">
      <dsp:nvSpPr>
        <dsp:cNvPr id="0" name=""/>
        <dsp:cNvSpPr/>
      </dsp:nvSpPr>
      <dsp:spPr>
        <a:xfrm>
          <a:off x="2902413" y="315833"/>
          <a:ext cx="2281251" cy="45826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63500" rIns="63500" bIns="95250" numCol="1" spcCol="1270" anchor="t" anchorCtr="0">
          <a:noAutofit/>
        </a:bodyPr>
        <a:lstStyle/>
        <a:p>
          <a:pPr marL="0" lvl="0" indent="0" algn="l" defTabSz="444500">
            <a:lnSpc>
              <a:spcPct val="90000"/>
            </a:lnSpc>
            <a:spcBef>
              <a:spcPct val="0"/>
            </a:spcBef>
            <a:spcAft>
              <a:spcPct val="35000"/>
            </a:spcAft>
            <a:buNone/>
          </a:pPr>
          <a:r>
            <a:rPr lang="en-US" sz="1000" b="1" kern="1200"/>
            <a:t>Total Shares Issued - 831.8m</a:t>
          </a:r>
          <a:endParaRPr lang="en-US" sz="1000" b="1" kern="1200" dirty="0"/>
        </a:p>
        <a:p>
          <a:pPr marL="0" lvl="0" indent="0" algn="l" defTabSz="444500">
            <a:lnSpc>
              <a:spcPct val="90000"/>
            </a:lnSpc>
            <a:spcBef>
              <a:spcPct val="0"/>
            </a:spcBef>
            <a:spcAft>
              <a:spcPct val="35000"/>
            </a:spcAft>
            <a:buNone/>
          </a:pPr>
          <a:r>
            <a:rPr lang="en-US" sz="1000" b="1" kern="1200" dirty="0"/>
            <a:t>Dividends - 3.5c/share</a:t>
          </a:r>
        </a:p>
      </dsp:txBody>
      <dsp:txXfrm>
        <a:off x="2902413" y="315833"/>
        <a:ext cx="2281251" cy="458268"/>
      </dsp:txXfrm>
    </dsp:sp>
    <dsp:sp modelId="{C553DA49-5B91-4DDB-A52C-9086FB221A05}">
      <dsp:nvSpPr>
        <dsp:cNvPr id="0" name=""/>
        <dsp:cNvSpPr/>
      </dsp:nvSpPr>
      <dsp:spPr>
        <a:xfrm>
          <a:off x="2902413" y="154820"/>
          <a:ext cx="2281251" cy="161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0" rIns="82550" bIns="0" numCol="1" spcCol="1270" anchor="ctr" anchorCtr="0">
          <a:noAutofit/>
        </a:bodyPr>
        <a:lstStyle/>
        <a:p>
          <a:pPr marL="0" lvl="0" indent="0" algn="l" defTabSz="577850">
            <a:lnSpc>
              <a:spcPct val="90000"/>
            </a:lnSpc>
            <a:spcBef>
              <a:spcPct val="0"/>
            </a:spcBef>
            <a:spcAft>
              <a:spcPct val="35000"/>
            </a:spcAft>
            <a:buNone/>
            <a:defRPr b="1"/>
          </a:pPr>
          <a:r>
            <a:rPr lang="en-US" sz="1300" b="1" kern="1200" dirty="0"/>
            <a:t>2024</a:t>
          </a:r>
        </a:p>
      </dsp:txBody>
      <dsp:txXfrm>
        <a:off x="2902413" y="154820"/>
        <a:ext cx="2281251" cy="161013"/>
      </dsp:txXfrm>
    </dsp:sp>
    <dsp:sp modelId="{FACCC1AA-CD2F-4D01-A501-4B5252FB01C8}">
      <dsp:nvSpPr>
        <dsp:cNvPr id="0" name=""/>
        <dsp:cNvSpPr/>
      </dsp:nvSpPr>
      <dsp:spPr>
        <a:xfrm>
          <a:off x="2821906" y="315833"/>
          <a:ext cx="0" cy="458268"/>
        </a:xfrm>
        <a:prstGeom prst="line">
          <a:avLst/>
        </a:prstGeom>
        <a:noFill/>
        <a:ln w="12700" cap="flat" cmpd="sng" algn="ctr">
          <a:solidFill>
            <a:schemeClr val="accent2">
              <a:hueOff val="-10369007"/>
              <a:satOff val="-20408"/>
              <a:lumOff val="12745"/>
              <a:alphaOff val="0"/>
            </a:schemeClr>
          </a:solidFill>
          <a:prstDash val="dash"/>
          <a:miter lim="800000"/>
        </a:ln>
        <a:effectLst/>
      </dsp:spPr>
      <dsp:style>
        <a:lnRef idx="1">
          <a:scrgbClr r="0" g="0" b="0"/>
        </a:lnRef>
        <a:fillRef idx="0">
          <a:scrgbClr r="0" g="0" b="0"/>
        </a:fillRef>
        <a:effectRef idx="0">
          <a:scrgbClr r="0" g="0" b="0"/>
        </a:effectRef>
        <a:fontRef idx="minor"/>
      </dsp:style>
    </dsp:sp>
    <dsp:sp modelId="{2C421BBC-6C0C-4982-BAAE-A8B45E04650A}">
      <dsp:nvSpPr>
        <dsp:cNvPr id="0" name=""/>
        <dsp:cNvSpPr/>
      </dsp:nvSpPr>
      <dsp:spPr>
        <a:xfrm>
          <a:off x="2807415" y="759610"/>
          <a:ext cx="28982" cy="28982"/>
        </a:xfrm>
        <a:prstGeom prst="ellipse">
          <a:avLst/>
        </a:prstGeom>
        <a:solidFill>
          <a:schemeClr val="accent2">
            <a:hueOff val="-10369007"/>
            <a:satOff val="-20408"/>
            <a:lumOff val="12745"/>
            <a:alphaOff val="0"/>
          </a:schemeClr>
        </a:solidFill>
        <a:ln w="63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Tree>
</dsp:drawing>
</file>

<file path=xl/diagrams/layout1.xml><?xml version="1.0" encoding="utf-8"?>
<dgm:layoutDef xmlns:dgm="http://schemas.openxmlformats.org/drawingml/2006/diagram" xmlns:a="http://schemas.openxmlformats.org/drawingml/2006/main" uniqueId="urn:microsoft.com/office/officeart/2017/3/layout/DropPinTimeline">
  <dgm:title val="Drop Pin Timeline"/>
  <dgm:desc val="Use to show a list of events in chronological order. An invisible box next to the pin contains the date and the description is immediately below. It can display a medium amount of text and medium length date format."/>
  <dgm:catLst>
    <dgm:cat type="timeline" pri="500"/>
    <dgm:cat type="process" pri="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
    <dgm:varLst>
      <dgm:chMax/>
      <dgm:chPref/>
      <dgm:animLvl val="lvl"/>
    </dgm:varLst>
    <dgm:alg type="composite"/>
    <dgm:shape xmlns:r="http://schemas.openxmlformats.org/officeDocument/2006/relationships" r:blip="">
      <dgm:adjLst/>
    </dgm:shape>
    <dgm:constrLst>
      <dgm:constr type="w" for="ch" forName="divider" refType="w"/>
      <dgm:constr type="h" for="ch" forName="divider"/>
      <dgm:constr type="ctrY" for="ch" forName="divider" refType="h" fact="0.5"/>
      <dgm:constr type="l" for="ch" forName="divider"/>
      <dgm:constr type="w" for="ch" forName="nodes" refType="w"/>
      <dgm:constr type="h" for="ch" forName="nodes" refType="h" fact="0.8"/>
      <dgm:constr type="ctrY" for="ch" forName="nodes" refType="h" fact="0.5"/>
    </dgm:constrLst>
    <dgm:layoutNode name="divider" styleLbl="fgAcc1">
      <dgm:alg type="sp"/>
      <dgm:choose name="ArrowShape">
        <dgm:if name="ArrowShapeLTR" func="var" arg="dir" op="equ" val="norm">
          <dgm:shape xmlns:r="http://schemas.openxmlformats.org/officeDocument/2006/relationships" type="line" r:blip="" zOrderOff="-1">
            <dgm:adjLst/>
            <dgm:extLst>
              <a:ext uri="{B698B0E9-8C71-41B9-8309-B3DCBF30829C}">
                <dgm1612:spPr xmlns:dgm1612="http://schemas.microsoft.com/office/drawing/2016/12/diagram">
                  <a:ln w="19050">
                    <a:solidFill>
                      <a:srgbClr val="000000"/>
                    </a:solidFill>
                    <a:tailEnd type="triangle" w="lg" len="lg"/>
                  </a:ln>
                </dgm1612:spPr>
              </a:ext>
            </dgm:extLst>
          </dgm:shape>
        </dgm:if>
        <dgm:else name="ArrowShapeRTL">
          <dgm:shape xmlns:r="http://schemas.openxmlformats.org/officeDocument/2006/relationships" type="line" r:blip="" zOrderOff="-1">
            <dgm:adjLst/>
            <dgm:extLst>
              <a:ext uri="{B698B0E9-8C71-41B9-8309-B3DCBF30829C}">
                <dgm1612:spPr xmlns:dgm1612="http://schemas.microsoft.com/office/drawing/2016/12/diagram">
                  <a:ln>
                    <a:solidFill>
                      <a:srgbClr val="000000"/>
                    </a:solidFill>
                    <a:headEnd type="triangle" w="lg" len="lg"/>
                  </a:ln>
                </dgm1612:spPr>
              </a:ext>
            </dgm:extLst>
          </dgm:shape>
        </dgm:else>
      </dgm:choose>
      <dgm:presOf/>
      <dgm:constrLst/>
      <dgm:ruleLst/>
    </dgm:layoutNode>
    <dgm:layoutNode name="nodes">
      <dgm:varLst>
        <dgm:chMax/>
        <dgm:chPref/>
        <dgm:animLvl val="lvl"/>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constrLst>
        <dgm:constr type="primFontSz" for="des" forName="L1TextContainer" val="20"/>
        <dgm:constr type="primFontSz" for="des" forName="L2TextContainer" refType="primFontSz" refFor="des" refForName="L1TextContainer" op="equ" fact="0.75"/>
        <dgm:constr type="w" for="ch" forName="composite" refType="w"/>
        <dgm:constr type="h" for="ch" forName="composite" refType="h"/>
        <dgm:constr type="w" for="ch" forName="spaceBetweenRectangles" refType="w" refFor="ch" refForName="composite" fact="-0.5"/>
        <dgm:constr type="w" for="ch" ptType="sibTrans" op="equ"/>
        <dgm:constr type="primFontSz" for="des" forName="L1TextContainer" op="equ"/>
        <dgm:constr type="primFontSz" for="des" forName="L2TextContainer" op="equ"/>
        <dgm:constr type="primFontSz" for="des" forName="L1TextContainer1" val="20"/>
        <dgm:constr type="primFontSz" for="des" forName="L2TextContainer1" refType="primFontSz" refFor="des" refForName="L1TextContainer1" op="equ" fact="0.75"/>
        <dgm:constr type="w" for="ch" forName="composite1" refType="w"/>
        <dgm:constr type="h" for="ch" forName="composite1" refType="h"/>
        <dgm:constr type="w" for="ch" forName="spaceBetweenRectangles1" refType="w" refFor="ch" refForName="composite1" fact="0.28"/>
        <dgm:constr type="primFontSz" for="des" forName="L1TextContainer1" op="equ"/>
        <dgm:constr type="primFontSz" for="des" forName="L2TextContainer1" op="equ"/>
      </dgm:constrLst>
      <dgm:choose name="LayoutBasedOnCountOfNodes">
        <dgm:if name="LessThanOrEqualToTwoNodes" axis="ch" ptType="node" func="cnt" op="lte" val="2">
          <dgm:forEach name="nodesForEach1" axis="ch" ptType="node">
            <dgm:layoutNode name="composite1">
              <dgm:alg type="composite"/>
              <dgm:shape xmlns:r="http://schemas.openxmlformats.org/officeDocument/2006/relationships" r:blip="">
                <dgm:adjLst/>
              </dgm:shape>
              <dgm:choose name="CaseForLayoutDirection1">
                <dgm:if name="CaseForLayoutDirectionLTR1" func="var" arg="dir" op="equ" val="norm">
                  <dgm:choose name="CaseForPlacingNodesAboveAndBelowDividerLTR1">
                    <dgm:if name="CaseForPlacingNodeAboveDividerLTR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LTR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if>
                <dgm:else name="CaseForLayoutDirectionRTL1">
                  <dgm:choose name="CaseForPlacingNodesAboveAndBelowDividerRTL1">
                    <dgm:if name="CaseForPlacingNodeAboveDividerRTL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RT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else>
              </dgm:choose>
              <dgm:layoutNode name="ConnectorPoint1" styleLbl="lnNode1" moveWith="ConnectLine1">
                <dgm:alg type="sp"/>
                <dgm:shape xmlns:r="http://schemas.openxmlformats.org/officeDocument/2006/relationships" type="ellipse" r:blip="" zOrderOff="10">
                  <dgm:adjLst/>
                </dgm:shape>
                <dgm:presOf/>
                <dgm:constrLst>
                  <dgm:constr type="w" refType="h" op="equ"/>
                </dgm:constrLst>
              </dgm:layoutNode>
              <dgm:layoutNode name="DropPinPlaceHolder1">
                <dgm:alg type="composite"/>
                <dgm:shape xmlns:r="http://schemas.openxmlformats.org/officeDocument/2006/relationships" r:blip="">
                  <dgm:adjLst/>
                </dgm:shape>
                <dgm:constrLst>
                  <dgm:constr type="w" for="ch" forName="DropPin1" refType="w"/>
                  <dgm:constr type="h" for="ch" forName="DropPin1" refType="h"/>
                  <dgm:constr type="ctrX" for="ch" forName="DropPin1" refType="w" fact="0.5"/>
                  <dgm:constr type="ctrY" for="ch" forName="DropPin1" refType="h" fact="0.5"/>
                  <dgm:constr type="w" for="ch" forName="Ellipse1" refType="w" refFor="ch" refForName="DropPin1" fact="0.55"/>
                  <dgm:constr type="h" for="ch" forName="Ellipse1" refType="w" refFor="ch" refForName="DropPin1" fact="0.55"/>
                  <dgm:constr type="ctrX" for="ch" forName="Ellipse1" refType="ctrX" refFor="ch" refForName="DropPin1"/>
                  <dgm:constr type="ctrY" for="ch" forName="Ellipse1" refType="ctrY" refFor="ch" refForName="DropPin1"/>
                </dgm:constrLst>
                <dgm:layoutNode name="DropPin1" styleLbl="alignNode1">
                  <dgm:alg type="sp"/>
                  <dgm:choose name="CaseForPlacingTearDropAboveAndBelowDivider1">
                    <dgm:if name="CaseForPlacingTearDropAboveDivider1" axis="self" ptType="node" func="posOdd" op="equ" val="1">
                      <dgm:shape xmlns:r="http://schemas.openxmlformats.org/officeDocument/2006/relationships" rot="135" type="teardrop" r:blip="">
                        <dgm:adjLst>
                          <dgm:adj idx="1" val="1.15"/>
                        </dgm:adjLst>
                      </dgm:shape>
                    </dgm:if>
                    <dgm:else name="CaseForPlacingTearDropBelowDivider1">
                      <dgm:shape xmlns:r="http://schemas.openxmlformats.org/officeDocument/2006/relationships" rot="-45" type="teardrop" r:blip="">
                        <dgm:adjLst>
                          <dgm:adj idx="1" val="1.15"/>
                        </dgm:adjLst>
                      </dgm:shape>
                    </dgm:else>
                  </dgm:choose>
                  <dgm:presOf/>
                  <dgm:constrLst/>
                </dgm:layoutNode>
                <dgm:layoutNode name="Ellipse1" styleLbl="fgAcc1" moveWith="DropPin1">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1" styleLbl="revTx" moveWith="L1TextContainer">
                <dgm:varLst>
                  <dgm:bulletEnabled val="1"/>
                </dgm:varLst>
                <dgm:choose name="casesForTxtDirLogic1">
                  <dgm:if name="Name771"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dgm:constr type="tMarg" refType="primFontSz" fact="0.5"/>
                      <dgm:constr type="bMarg" refType="primFontSz" fact="0.75"/>
                    </dgm:constrLst>
                  </dgm:if>
                  <dgm:else name="Name881">
                    <dgm:alg type="tx">
                      <dgm:param type="txAnchorVert" val="b"/>
                      <dgm:param type="parTxLTRAlign" val="l"/>
                      <dgm:param type="parTxRTLAlign" val="l"/>
                      <dgm:param type="txAnchorVertCh" val="b"/>
                      <dgm:param type="shpTxRTLAlignCh" val="l"/>
                      <dgm:param type="shpTxLTRAlignCh" val="l"/>
                    </dgm:alg>
                    <dgm:constrLst>
                      <dgm:constr type="lMarg"/>
                      <dgm:constr type="rMarg" refType="primFontSz" fact="0.5"/>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1"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1"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1">
                <dgm:alg type="sp"/>
                <dgm:shape xmlns:r="http://schemas.openxmlformats.org/officeDocument/2006/relationships" r:blip="">
                  <dgm:adjLst/>
                </dgm:shape>
                <dgm:presOf/>
                <dgm:constrLst/>
              </dgm:layoutNode>
            </dgm:layoutNode>
            <dgm:forEach name="Name281" axis="followSib" ptType="sibTrans" cnt="1">
              <dgm:layoutNode name="spaceBetweenRectangles1">
                <dgm:alg type="sp"/>
                <dgm:shape xmlns:r="http://schemas.openxmlformats.org/officeDocument/2006/relationships" r:blip="">
                  <dgm:adjLst/>
                </dgm:shape>
                <dgm:presOf/>
                <dgm:constrLst/>
                <dgm:ruleLst/>
              </dgm:layoutNode>
            </dgm:forEach>
          </dgm:forEach>
        </dgm:if>
        <dgm:else name="MoreThanTwoNodes">
          <dgm:forEach name="nodesForEach" axis="ch" ptType="node">
            <dgm:layoutNode name="composite">
              <dgm:alg type="composite"/>
              <dgm:shape xmlns:r="http://schemas.openxmlformats.org/officeDocument/2006/relationships" r:blip="">
                <dgm:adjLst/>
              </dgm:shape>
              <dgm:choose name="CaseForLayoutDirection">
                <dgm:if name="CaseForLayoutDirectionLTR" func="var" arg="dir" op="equ" val="norm">
                  <dgm:choose name="CaseForPlacingNodesAboveAndBelowDividerLTR">
                    <dgm:if name="CaseForPlacingNodeAboveDividerLTR"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LTR">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if>
                <dgm:else name="CaseForLayoutDirectionRTL">
                  <dgm:choose name="CaseForPlacingNodesAboveAndBelowDividerRTL">
                    <dgm:if name="CaseForPlacingNodeAboveDividerRTL"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RTL">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else>
              </dgm:choose>
              <dgm:layoutNode name="ConnectorPoint" styleLbl="lnNode1" moveWith="ConnectLine">
                <dgm:alg type="sp"/>
                <dgm:shape xmlns:r="http://schemas.openxmlformats.org/officeDocument/2006/relationships" type="ellipse" r:blip="" zOrderOff="10">
                  <dgm:adjLst/>
                  <dgm:extLst>
                    <a:ext uri="{B698B0E9-8C71-41B9-8309-B3DCBF30829C}">
                      <dgm1612:spPr xmlns:dgm1612="http://schemas.microsoft.com/office/drawing/2016/12/diagram">
                        <a:ln w="6350"/>
                      </dgm1612:spPr>
                    </a:ext>
                  </dgm:extLst>
                </dgm:shape>
                <dgm:presOf/>
                <dgm:constrLst>
                  <dgm:constr type="w" refType="h" op="equ"/>
                </dgm:constrLst>
              </dgm:layoutNode>
              <dgm:layoutNode name="DropPinPlaceHolder">
                <dgm:alg type="composite"/>
                <dgm:shape xmlns:r="http://schemas.openxmlformats.org/officeDocument/2006/relationships" r:blip="">
                  <dgm:adjLst/>
                </dgm:shape>
                <dgm:constrLst>
                  <dgm:constr type="w" for="ch" forName="DropPin" refType="w"/>
                  <dgm:constr type="h" for="ch" forName="DropPin" refType="h"/>
                  <dgm:constr type="ctrX" for="ch" forName="DropPin" refType="w" fact="0.5"/>
                  <dgm:constr type="ctrY" for="ch" forName="DropPin" refType="h" fact="0.5"/>
                  <dgm:constr type="w" for="ch" forName="Ellipse" refType="w" refFor="ch" refForName="DropPin" fact="0.55"/>
                  <dgm:constr type="h" for="ch" forName="Ellipse" refType="w" refFor="ch" refForName="DropPin" fact="0.55"/>
                  <dgm:constr type="ctrX" for="ch" forName="Ellipse" refType="ctrX" refFor="ch" refForName="DropPin"/>
                  <dgm:constr type="ctrY" for="ch" forName="Ellipse" refType="ctrY" refFor="ch" refForName="DropPin"/>
                </dgm:constrLst>
                <dgm:layoutNode name="DropPin" styleLbl="alignNode1">
                  <dgm:alg type="sp"/>
                  <dgm:choose name="CaseForPlacingTearDropAboveAndBelowDivider">
                    <dgm:if name="CaseForPlacingTearDropAboveDivider" axis="self" ptType="node" func="posOdd" op="equ" val="1">
                      <dgm:shape xmlns:r="http://schemas.openxmlformats.org/officeDocument/2006/relationships" rot="135" type="teardrop" r:blip="">
                        <dgm:adjLst>
                          <dgm:adj idx="1" val="1.15"/>
                        </dgm:adjLst>
                      </dgm:shape>
                    </dgm:if>
                    <dgm:else name="CaseForPlacingTearDropBelowDivider">
                      <dgm:shape xmlns:r="http://schemas.openxmlformats.org/officeDocument/2006/relationships" rot="-45" type="teardrop" r:blip="">
                        <dgm:adjLst>
                          <dgm:adj idx="1" val="1.15"/>
                        </dgm:adjLst>
                      </dgm:shape>
                    </dgm:else>
                  </dgm:choose>
                  <dgm:presOf/>
                  <dgm:constrLst/>
                </dgm:layoutNode>
                <dgm:layoutNode name="Ellipse" styleLbl="fgAcc1" moveWith="DropPin">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 styleLbl="revTx" moveWith="L1TextContainer">
                <dgm:varLst>
                  <dgm:bulletEnabled val="1"/>
                </dgm:varLst>
                <dgm:choose name="casesForTxtDirLogic">
                  <dgm:if name="Name77"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refType="primFontSz" fact="0.5"/>
                      <dgm:constr type="tMarg" refType="primFontSz" fact="0.5"/>
                      <dgm:constr type="bMarg" refType="primFontSz" fact="0.75"/>
                    </dgm:constrLst>
                  </dgm:if>
                  <dgm:else name="Name88">
                    <dgm:alg type="tx">
                      <dgm:param type="txAnchorVert" val="b"/>
                      <dgm:param type="parTxLTRAlign" val="l"/>
                      <dgm:param type="parTxRTLAlign" val="l"/>
                      <dgm:param type="txAnchorVertCh" val="b"/>
                      <dgm:param type="shpTxRTLAlignCh" val="l"/>
                      <dgm:param type="shpTxLTRAlignCh" val="l"/>
                    </dgm:alg>
                    <dgm:constrLst>
                      <dgm:constr type="lMarg"/>
                      <dgm:constr type="rMarg"/>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
                <dgm:alg type="sp"/>
                <dgm:shape xmlns:r="http://schemas.openxmlformats.org/officeDocument/2006/relationships" r:blip="">
                  <dgm:adjLst/>
                </dgm:shape>
                <dgm:presOf/>
                <dgm:constrLst/>
              </dgm:layoutNode>
            </dgm:layoutNode>
            <dgm:forEach name="Name28" axis="followSib" ptType="sibTrans" cnt="1">
              <dgm:layoutNode name="spaceBetweenRectangles">
                <dgm:alg type="sp"/>
                <dgm:shape xmlns:r="http://schemas.openxmlformats.org/officeDocument/2006/relationships" r:blip="">
                  <dgm:adjLst/>
                </dgm:shape>
                <dgm:presOf/>
                <dgm:constrLst/>
                <dgm:ruleLst/>
              </dgm:layoutNode>
            </dgm:forEach>
          </dgm:forEach>
        </dgm:else>
      </dgm:choose>
    </dgm:layoutNode>
  </dgm:layoutNode>
  <dgm:extLst>
    <a:ext uri="{68A01E43-0DF5-4B5B-8FA6-DAF915123BFB}">
      <dgm1612:lstStyle xmlns:dgm1612="http://schemas.microsoft.com/office/drawing/2016/12/diagram">
        <a:lvl1pPr>
          <a:defRPr b="1"/>
        </a:lvl1pPr>
      </dgm1612:lstStyle>
    </a:ext>
  </dgm:extLst>
</dgm:layoutDef>
</file>

<file path=xl/diagrams/layout2.xml><?xml version="1.0" encoding="utf-8"?>
<dgm:layoutDef xmlns:dgm="http://schemas.openxmlformats.org/drawingml/2006/diagram" xmlns:a="http://schemas.openxmlformats.org/drawingml/2006/main" uniqueId="urn:microsoft.com/office/officeart/2017/3/layout/DropPinTimeline">
  <dgm:title val="Drop Pin Timeline"/>
  <dgm:desc val="Use to show a list of events in chronological order. An invisible box next to the pin contains the date and the description is immediately below. It can display a medium amount of text and medium length date format."/>
  <dgm:catLst>
    <dgm:cat type="timeline" pri="500"/>
    <dgm:cat type="process" pri="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
    <dgm:varLst>
      <dgm:chMax/>
      <dgm:chPref/>
      <dgm:animLvl val="lvl"/>
    </dgm:varLst>
    <dgm:alg type="composite"/>
    <dgm:shape xmlns:r="http://schemas.openxmlformats.org/officeDocument/2006/relationships" r:blip="">
      <dgm:adjLst/>
    </dgm:shape>
    <dgm:constrLst>
      <dgm:constr type="w" for="ch" forName="divider" refType="w"/>
      <dgm:constr type="h" for="ch" forName="divider"/>
      <dgm:constr type="ctrY" for="ch" forName="divider" refType="h" fact="0.5"/>
      <dgm:constr type="l" for="ch" forName="divider"/>
      <dgm:constr type="w" for="ch" forName="nodes" refType="w"/>
      <dgm:constr type="h" for="ch" forName="nodes" refType="h" fact="0.8"/>
      <dgm:constr type="ctrY" for="ch" forName="nodes" refType="h" fact="0.5"/>
    </dgm:constrLst>
    <dgm:layoutNode name="divider" styleLbl="fgAcc1">
      <dgm:alg type="sp"/>
      <dgm:choose name="ArrowShape">
        <dgm:if name="ArrowShapeLTR" func="var" arg="dir" op="equ" val="norm">
          <dgm:shape xmlns:r="http://schemas.openxmlformats.org/officeDocument/2006/relationships" type="line" r:blip="" zOrderOff="-1">
            <dgm:adjLst/>
            <dgm:extLst>
              <a:ext uri="{B698B0E9-8C71-41B9-8309-B3DCBF30829C}">
                <dgm1612:spPr xmlns:dgm1612="http://schemas.microsoft.com/office/drawing/2016/12/diagram">
                  <a:ln w="19050">
                    <a:solidFill>
                      <a:srgbClr val="000000"/>
                    </a:solidFill>
                    <a:tailEnd type="triangle" w="lg" len="lg"/>
                  </a:ln>
                </dgm1612:spPr>
              </a:ext>
            </dgm:extLst>
          </dgm:shape>
        </dgm:if>
        <dgm:else name="ArrowShapeRTL">
          <dgm:shape xmlns:r="http://schemas.openxmlformats.org/officeDocument/2006/relationships" type="line" r:blip="" zOrderOff="-1">
            <dgm:adjLst/>
            <dgm:extLst>
              <a:ext uri="{B698B0E9-8C71-41B9-8309-B3DCBF30829C}">
                <dgm1612:spPr xmlns:dgm1612="http://schemas.microsoft.com/office/drawing/2016/12/diagram">
                  <a:ln>
                    <a:solidFill>
                      <a:srgbClr val="000000"/>
                    </a:solidFill>
                    <a:headEnd type="triangle" w="lg" len="lg"/>
                  </a:ln>
                </dgm1612:spPr>
              </a:ext>
            </dgm:extLst>
          </dgm:shape>
        </dgm:else>
      </dgm:choose>
      <dgm:presOf/>
      <dgm:constrLst/>
      <dgm:ruleLst/>
    </dgm:layoutNode>
    <dgm:layoutNode name="nodes">
      <dgm:varLst>
        <dgm:chMax/>
        <dgm:chPref/>
        <dgm:animLvl val="lvl"/>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constrLst>
        <dgm:constr type="primFontSz" for="des" forName="L1TextContainer" val="20"/>
        <dgm:constr type="primFontSz" for="des" forName="L2TextContainer" refType="primFontSz" refFor="des" refForName="L1TextContainer" op="equ" fact="0.75"/>
        <dgm:constr type="w" for="ch" forName="composite" refType="w"/>
        <dgm:constr type="h" for="ch" forName="composite" refType="h"/>
        <dgm:constr type="w" for="ch" forName="spaceBetweenRectangles" refType="w" refFor="ch" refForName="composite" fact="-0.5"/>
        <dgm:constr type="w" for="ch" ptType="sibTrans" op="equ"/>
        <dgm:constr type="primFontSz" for="des" forName="L1TextContainer" op="equ"/>
        <dgm:constr type="primFontSz" for="des" forName="L2TextContainer" op="equ"/>
        <dgm:constr type="primFontSz" for="des" forName="L1TextContainer1" val="20"/>
        <dgm:constr type="primFontSz" for="des" forName="L2TextContainer1" refType="primFontSz" refFor="des" refForName="L1TextContainer1" op="equ" fact="0.75"/>
        <dgm:constr type="w" for="ch" forName="composite1" refType="w"/>
        <dgm:constr type="h" for="ch" forName="composite1" refType="h"/>
        <dgm:constr type="w" for="ch" forName="spaceBetweenRectangles1" refType="w" refFor="ch" refForName="composite1" fact="0.28"/>
        <dgm:constr type="primFontSz" for="des" forName="L1TextContainer1" op="equ"/>
        <dgm:constr type="primFontSz" for="des" forName="L2TextContainer1" op="equ"/>
      </dgm:constrLst>
      <dgm:choose name="LayoutBasedOnCountOfNodes">
        <dgm:if name="LessThanOrEqualToTwoNodes" axis="ch" ptType="node" func="cnt" op="lte" val="2">
          <dgm:forEach name="nodesForEach1" axis="ch" ptType="node">
            <dgm:layoutNode name="composite1">
              <dgm:alg type="composite"/>
              <dgm:shape xmlns:r="http://schemas.openxmlformats.org/officeDocument/2006/relationships" r:blip="">
                <dgm:adjLst/>
              </dgm:shape>
              <dgm:choose name="CaseForLayoutDirection1">
                <dgm:if name="CaseForLayoutDirectionLTR1" func="var" arg="dir" op="equ" val="norm">
                  <dgm:choose name="CaseForPlacingNodesAboveAndBelowDividerLTR1">
                    <dgm:if name="CaseForPlacingNodeAboveDividerLTR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LTR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if>
                <dgm:else name="CaseForLayoutDirectionRTL1">
                  <dgm:choose name="CaseForPlacingNodesAboveAndBelowDividerRTL1">
                    <dgm:if name="CaseForPlacingNodeAboveDividerRTL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RT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else>
              </dgm:choose>
              <dgm:layoutNode name="ConnectorPoint1" styleLbl="lnNode1" moveWith="ConnectLine1">
                <dgm:alg type="sp"/>
                <dgm:shape xmlns:r="http://schemas.openxmlformats.org/officeDocument/2006/relationships" type="ellipse" r:blip="" zOrderOff="10">
                  <dgm:adjLst/>
                </dgm:shape>
                <dgm:presOf/>
                <dgm:constrLst>
                  <dgm:constr type="w" refType="h" op="equ"/>
                </dgm:constrLst>
              </dgm:layoutNode>
              <dgm:layoutNode name="DropPinPlaceHolder1">
                <dgm:alg type="composite"/>
                <dgm:shape xmlns:r="http://schemas.openxmlformats.org/officeDocument/2006/relationships" r:blip="">
                  <dgm:adjLst/>
                </dgm:shape>
                <dgm:constrLst>
                  <dgm:constr type="w" for="ch" forName="DropPin1" refType="w"/>
                  <dgm:constr type="h" for="ch" forName="DropPin1" refType="h"/>
                  <dgm:constr type="ctrX" for="ch" forName="DropPin1" refType="w" fact="0.5"/>
                  <dgm:constr type="ctrY" for="ch" forName="DropPin1" refType="h" fact="0.5"/>
                  <dgm:constr type="w" for="ch" forName="Ellipse1" refType="w" refFor="ch" refForName="DropPin1" fact="0.55"/>
                  <dgm:constr type="h" for="ch" forName="Ellipse1" refType="w" refFor="ch" refForName="DropPin1" fact="0.55"/>
                  <dgm:constr type="ctrX" for="ch" forName="Ellipse1" refType="ctrX" refFor="ch" refForName="DropPin1"/>
                  <dgm:constr type="ctrY" for="ch" forName="Ellipse1" refType="ctrY" refFor="ch" refForName="DropPin1"/>
                </dgm:constrLst>
                <dgm:layoutNode name="DropPin1" styleLbl="alignNode1">
                  <dgm:alg type="sp"/>
                  <dgm:choose name="CaseForPlacingTearDropAboveAndBelowDivider1">
                    <dgm:if name="CaseForPlacingTearDropAboveDivider1" axis="self" ptType="node" func="posOdd" op="equ" val="1">
                      <dgm:shape xmlns:r="http://schemas.openxmlformats.org/officeDocument/2006/relationships" rot="135" type="teardrop" r:blip="">
                        <dgm:adjLst>
                          <dgm:adj idx="1" val="1.15"/>
                        </dgm:adjLst>
                      </dgm:shape>
                    </dgm:if>
                    <dgm:else name="CaseForPlacingTearDropBelowDivider1">
                      <dgm:shape xmlns:r="http://schemas.openxmlformats.org/officeDocument/2006/relationships" rot="-45" type="teardrop" r:blip="">
                        <dgm:adjLst>
                          <dgm:adj idx="1" val="1.15"/>
                        </dgm:adjLst>
                      </dgm:shape>
                    </dgm:else>
                  </dgm:choose>
                  <dgm:presOf/>
                  <dgm:constrLst/>
                </dgm:layoutNode>
                <dgm:layoutNode name="Ellipse1" styleLbl="fgAcc1" moveWith="DropPin1">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1" styleLbl="revTx" moveWith="L1TextContainer">
                <dgm:varLst>
                  <dgm:bulletEnabled val="1"/>
                </dgm:varLst>
                <dgm:choose name="casesForTxtDirLogic1">
                  <dgm:if name="Name771"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dgm:constr type="tMarg" refType="primFontSz" fact="0.5"/>
                      <dgm:constr type="bMarg" refType="primFontSz" fact="0.75"/>
                    </dgm:constrLst>
                  </dgm:if>
                  <dgm:else name="Name881">
                    <dgm:alg type="tx">
                      <dgm:param type="txAnchorVert" val="b"/>
                      <dgm:param type="parTxLTRAlign" val="l"/>
                      <dgm:param type="parTxRTLAlign" val="l"/>
                      <dgm:param type="txAnchorVertCh" val="b"/>
                      <dgm:param type="shpTxRTLAlignCh" val="l"/>
                      <dgm:param type="shpTxLTRAlignCh" val="l"/>
                    </dgm:alg>
                    <dgm:constrLst>
                      <dgm:constr type="lMarg"/>
                      <dgm:constr type="rMarg" refType="primFontSz" fact="0.5"/>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1"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1"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1">
                <dgm:alg type="sp"/>
                <dgm:shape xmlns:r="http://schemas.openxmlformats.org/officeDocument/2006/relationships" r:blip="">
                  <dgm:adjLst/>
                </dgm:shape>
                <dgm:presOf/>
                <dgm:constrLst/>
              </dgm:layoutNode>
            </dgm:layoutNode>
            <dgm:forEach name="Name281" axis="followSib" ptType="sibTrans" cnt="1">
              <dgm:layoutNode name="spaceBetweenRectangles1">
                <dgm:alg type="sp"/>
                <dgm:shape xmlns:r="http://schemas.openxmlformats.org/officeDocument/2006/relationships" r:blip="">
                  <dgm:adjLst/>
                </dgm:shape>
                <dgm:presOf/>
                <dgm:constrLst/>
                <dgm:ruleLst/>
              </dgm:layoutNode>
            </dgm:forEach>
          </dgm:forEach>
        </dgm:if>
        <dgm:else name="MoreThanTwoNodes">
          <dgm:forEach name="nodesForEach" axis="ch" ptType="node">
            <dgm:layoutNode name="composite">
              <dgm:alg type="composite"/>
              <dgm:shape xmlns:r="http://schemas.openxmlformats.org/officeDocument/2006/relationships" r:blip="">
                <dgm:adjLst/>
              </dgm:shape>
              <dgm:choose name="CaseForLayoutDirection">
                <dgm:if name="CaseForLayoutDirectionLTR" func="var" arg="dir" op="equ" val="norm">
                  <dgm:choose name="CaseForPlacingNodesAboveAndBelowDividerLTR">
                    <dgm:if name="CaseForPlacingNodeAboveDividerLTR"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LTR">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if>
                <dgm:else name="CaseForLayoutDirectionRTL">
                  <dgm:choose name="CaseForPlacingNodesAboveAndBelowDividerRTL">
                    <dgm:if name="CaseForPlacingNodeAboveDividerRTL"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RTL">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else>
              </dgm:choose>
              <dgm:layoutNode name="ConnectorPoint" styleLbl="lnNode1" moveWith="ConnectLine">
                <dgm:alg type="sp"/>
                <dgm:shape xmlns:r="http://schemas.openxmlformats.org/officeDocument/2006/relationships" type="ellipse" r:blip="" zOrderOff="10">
                  <dgm:adjLst/>
                  <dgm:extLst>
                    <a:ext uri="{B698B0E9-8C71-41B9-8309-B3DCBF30829C}">
                      <dgm1612:spPr xmlns:dgm1612="http://schemas.microsoft.com/office/drawing/2016/12/diagram">
                        <a:ln w="6350"/>
                      </dgm1612:spPr>
                    </a:ext>
                  </dgm:extLst>
                </dgm:shape>
                <dgm:presOf/>
                <dgm:constrLst>
                  <dgm:constr type="w" refType="h" op="equ"/>
                </dgm:constrLst>
              </dgm:layoutNode>
              <dgm:layoutNode name="DropPinPlaceHolder">
                <dgm:alg type="composite"/>
                <dgm:shape xmlns:r="http://schemas.openxmlformats.org/officeDocument/2006/relationships" r:blip="">
                  <dgm:adjLst/>
                </dgm:shape>
                <dgm:constrLst>
                  <dgm:constr type="w" for="ch" forName="DropPin" refType="w"/>
                  <dgm:constr type="h" for="ch" forName="DropPin" refType="h"/>
                  <dgm:constr type="ctrX" for="ch" forName="DropPin" refType="w" fact="0.5"/>
                  <dgm:constr type="ctrY" for="ch" forName="DropPin" refType="h" fact="0.5"/>
                  <dgm:constr type="w" for="ch" forName="Ellipse" refType="w" refFor="ch" refForName="DropPin" fact="0.55"/>
                  <dgm:constr type="h" for="ch" forName="Ellipse" refType="w" refFor="ch" refForName="DropPin" fact="0.55"/>
                  <dgm:constr type="ctrX" for="ch" forName="Ellipse" refType="ctrX" refFor="ch" refForName="DropPin"/>
                  <dgm:constr type="ctrY" for="ch" forName="Ellipse" refType="ctrY" refFor="ch" refForName="DropPin"/>
                </dgm:constrLst>
                <dgm:layoutNode name="DropPin" styleLbl="alignNode1">
                  <dgm:alg type="sp"/>
                  <dgm:choose name="CaseForPlacingTearDropAboveAndBelowDivider">
                    <dgm:if name="CaseForPlacingTearDropAboveDivider" axis="self" ptType="node" func="posOdd" op="equ" val="1">
                      <dgm:shape xmlns:r="http://schemas.openxmlformats.org/officeDocument/2006/relationships" rot="135" type="teardrop" r:blip="">
                        <dgm:adjLst>
                          <dgm:adj idx="1" val="1.15"/>
                        </dgm:adjLst>
                      </dgm:shape>
                    </dgm:if>
                    <dgm:else name="CaseForPlacingTearDropBelowDivider">
                      <dgm:shape xmlns:r="http://schemas.openxmlformats.org/officeDocument/2006/relationships" rot="-45" type="teardrop" r:blip="">
                        <dgm:adjLst>
                          <dgm:adj idx="1" val="1.15"/>
                        </dgm:adjLst>
                      </dgm:shape>
                    </dgm:else>
                  </dgm:choose>
                  <dgm:presOf/>
                  <dgm:constrLst/>
                </dgm:layoutNode>
                <dgm:layoutNode name="Ellipse" styleLbl="fgAcc1" moveWith="DropPin">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 styleLbl="revTx" moveWith="L1TextContainer">
                <dgm:varLst>
                  <dgm:bulletEnabled val="1"/>
                </dgm:varLst>
                <dgm:choose name="casesForTxtDirLogic">
                  <dgm:if name="Name77"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refType="primFontSz" fact="0.5"/>
                      <dgm:constr type="tMarg" refType="primFontSz" fact="0.5"/>
                      <dgm:constr type="bMarg" refType="primFontSz" fact="0.75"/>
                    </dgm:constrLst>
                  </dgm:if>
                  <dgm:else name="Name88">
                    <dgm:alg type="tx">
                      <dgm:param type="txAnchorVert" val="b"/>
                      <dgm:param type="parTxLTRAlign" val="l"/>
                      <dgm:param type="parTxRTLAlign" val="l"/>
                      <dgm:param type="txAnchorVertCh" val="b"/>
                      <dgm:param type="shpTxRTLAlignCh" val="l"/>
                      <dgm:param type="shpTxLTRAlignCh" val="l"/>
                    </dgm:alg>
                    <dgm:constrLst>
                      <dgm:constr type="lMarg"/>
                      <dgm:constr type="rMarg"/>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
                <dgm:alg type="sp"/>
                <dgm:shape xmlns:r="http://schemas.openxmlformats.org/officeDocument/2006/relationships" r:blip="">
                  <dgm:adjLst/>
                </dgm:shape>
                <dgm:presOf/>
                <dgm:constrLst/>
              </dgm:layoutNode>
            </dgm:layoutNode>
            <dgm:forEach name="Name28" axis="followSib" ptType="sibTrans" cnt="1">
              <dgm:layoutNode name="spaceBetweenRectangles">
                <dgm:alg type="sp"/>
                <dgm:shape xmlns:r="http://schemas.openxmlformats.org/officeDocument/2006/relationships" r:blip="">
                  <dgm:adjLst/>
                </dgm:shape>
                <dgm:presOf/>
                <dgm:constrLst/>
                <dgm:ruleLst/>
              </dgm:layoutNode>
            </dgm:forEach>
          </dgm:forEach>
        </dgm:else>
      </dgm:choose>
    </dgm:layoutNode>
  </dgm:layoutNode>
  <dgm:extLst>
    <a:ext uri="{68A01E43-0DF5-4B5B-8FA6-DAF915123BFB}">
      <dgm1612:lstStyle xmlns:dgm1612="http://schemas.microsoft.com/office/drawing/2016/12/diagram">
        <a:lvl1pPr>
          <a:defRPr b="1"/>
        </a:lvl1pPr>
      </dgm1612:lstStyle>
    </a:ext>
  </dgm:extLst>
</dgm:layoutDef>
</file>

<file path=xl/diagrams/layout3.xml><?xml version="1.0" encoding="utf-8"?>
<dgm:layoutDef xmlns:dgm="http://schemas.openxmlformats.org/drawingml/2006/diagram" xmlns:a="http://schemas.openxmlformats.org/drawingml/2006/main" uniqueId="urn:microsoft.com/office/officeart/2017/3/layout/DropPinTimeline">
  <dgm:title val="Drop Pin Timeline"/>
  <dgm:desc val="Use to show a list of events in chronological order. An invisible box next to the pin contains the date and the description is immediately below. It can display a medium amount of text and medium length date format."/>
  <dgm:catLst>
    <dgm:cat type="timeline" pri="500"/>
    <dgm:cat type="process" pri="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
    <dgm:varLst>
      <dgm:chMax/>
      <dgm:chPref/>
      <dgm:animLvl val="lvl"/>
    </dgm:varLst>
    <dgm:alg type="composite"/>
    <dgm:shape xmlns:r="http://schemas.openxmlformats.org/officeDocument/2006/relationships" r:blip="">
      <dgm:adjLst/>
    </dgm:shape>
    <dgm:constrLst>
      <dgm:constr type="w" for="ch" forName="divider" refType="w"/>
      <dgm:constr type="h" for="ch" forName="divider"/>
      <dgm:constr type="ctrY" for="ch" forName="divider" refType="h" fact="0.5"/>
      <dgm:constr type="l" for="ch" forName="divider"/>
      <dgm:constr type="w" for="ch" forName="nodes" refType="w"/>
      <dgm:constr type="h" for="ch" forName="nodes" refType="h" fact="0.8"/>
      <dgm:constr type="ctrY" for="ch" forName="nodes" refType="h" fact="0.5"/>
    </dgm:constrLst>
    <dgm:layoutNode name="divider" styleLbl="fgAcc1">
      <dgm:alg type="sp"/>
      <dgm:choose name="ArrowShape">
        <dgm:if name="ArrowShapeLTR" func="var" arg="dir" op="equ" val="norm">
          <dgm:shape xmlns:r="http://schemas.openxmlformats.org/officeDocument/2006/relationships" type="line" r:blip="" zOrderOff="-1">
            <dgm:adjLst/>
            <dgm:extLst>
              <a:ext uri="{B698B0E9-8C71-41B9-8309-B3DCBF30829C}">
                <dgm1612:spPr xmlns:dgm1612="http://schemas.microsoft.com/office/drawing/2016/12/diagram">
                  <a:ln w="19050">
                    <a:solidFill>
                      <a:srgbClr val="000000"/>
                    </a:solidFill>
                    <a:tailEnd type="triangle" w="lg" len="lg"/>
                  </a:ln>
                </dgm1612:spPr>
              </a:ext>
            </dgm:extLst>
          </dgm:shape>
        </dgm:if>
        <dgm:else name="ArrowShapeRTL">
          <dgm:shape xmlns:r="http://schemas.openxmlformats.org/officeDocument/2006/relationships" type="line" r:blip="" zOrderOff="-1">
            <dgm:adjLst/>
            <dgm:extLst>
              <a:ext uri="{B698B0E9-8C71-41B9-8309-B3DCBF30829C}">
                <dgm1612:spPr xmlns:dgm1612="http://schemas.microsoft.com/office/drawing/2016/12/diagram">
                  <a:ln>
                    <a:solidFill>
                      <a:srgbClr val="000000"/>
                    </a:solidFill>
                    <a:headEnd type="triangle" w="lg" len="lg"/>
                  </a:ln>
                </dgm1612:spPr>
              </a:ext>
            </dgm:extLst>
          </dgm:shape>
        </dgm:else>
      </dgm:choose>
      <dgm:presOf/>
      <dgm:constrLst/>
      <dgm:ruleLst/>
    </dgm:layoutNode>
    <dgm:layoutNode name="nodes">
      <dgm:varLst>
        <dgm:chMax/>
        <dgm:chPref/>
        <dgm:animLvl val="lvl"/>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constrLst>
        <dgm:constr type="primFontSz" for="des" forName="L1TextContainer" val="20"/>
        <dgm:constr type="primFontSz" for="des" forName="L2TextContainer" refType="primFontSz" refFor="des" refForName="L1TextContainer" op="equ" fact="0.75"/>
        <dgm:constr type="w" for="ch" forName="composite" refType="w"/>
        <dgm:constr type="h" for="ch" forName="composite" refType="h"/>
        <dgm:constr type="w" for="ch" forName="spaceBetweenRectangles" refType="w" refFor="ch" refForName="composite" fact="-0.5"/>
        <dgm:constr type="w" for="ch" ptType="sibTrans" op="equ"/>
        <dgm:constr type="primFontSz" for="des" forName="L1TextContainer" op="equ"/>
        <dgm:constr type="primFontSz" for="des" forName="L2TextContainer" op="equ"/>
        <dgm:constr type="primFontSz" for="des" forName="L1TextContainer1" val="20"/>
        <dgm:constr type="primFontSz" for="des" forName="L2TextContainer1" refType="primFontSz" refFor="des" refForName="L1TextContainer1" op="equ" fact="0.75"/>
        <dgm:constr type="w" for="ch" forName="composite1" refType="w"/>
        <dgm:constr type="h" for="ch" forName="composite1" refType="h"/>
        <dgm:constr type="w" for="ch" forName="spaceBetweenRectangles1" refType="w" refFor="ch" refForName="composite1" fact="0.28"/>
        <dgm:constr type="primFontSz" for="des" forName="L1TextContainer1" op="equ"/>
        <dgm:constr type="primFontSz" for="des" forName="L2TextContainer1" op="equ"/>
      </dgm:constrLst>
      <dgm:choose name="LayoutBasedOnCountOfNodes">
        <dgm:if name="LessThanOrEqualToTwoNodes" axis="ch" ptType="node" func="cnt" op="lte" val="2">
          <dgm:forEach name="nodesForEach1" axis="ch" ptType="node">
            <dgm:layoutNode name="composite1">
              <dgm:alg type="composite"/>
              <dgm:shape xmlns:r="http://schemas.openxmlformats.org/officeDocument/2006/relationships" r:blip="">
                <dgm:adjLst/>
              </dgm:shape>
              <dgm:choose name="CaseForLayoutDirection1">
                <dgm:if name="CaseForLayoutDirectionLTR1" func="var" arg="dir" op="equ" val="norm">
                  <dgm:choose name="CaseForPlacingNodesAboveAndBelowDividerLTR1">
                    <dgm:if name="CaseForPlacingNodeAboveDividerLTR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LTR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if>
                <dgm:else name="CaseForLayoutDirectionRTL1">
                  <dgm:choose name="CaseForPlacingNodesAboveAndBelowDividerRTL1">
                    <dgm:if name="CaseForPlacingNodeAboveDividerRTL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RT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else>
              </dgm:choose>
              <dgm:layoutNode name="ConnectorPoint1" styleLbl="lnNode1" moveWith="ConnectLine1">
                <dgm:alg type="sp"/>
                <dgm:shape xmlns:r="http://schemas.openxmlformats.org/officeDocument/2006/relationships" type="ellipse" r:blip="" zOrderOff="10">
                  <dgm:adjLst/>
                </dgm:shape>
                <dgm:presOf/>
                <dgm:constrLst>
                  <dgm:constr type="w" refType="h" op="equ"/>
                </dgm:constrLst>
              </dgm:layoutNode>
              <dgm:layoutNode name="DropPinPlaceHolder1">
                <dgm:alg type="composite"/>
                <dgm:shape xmlns:r="http://schemas.openxmlformats.org/officeDocument/2006/relationships" r:blip="">
                  <dgm:adjLst/>
                </dgm:shape>
                <dgm:constrLst>
                  <dgm:constr type="w" for="ch" forName="DropPin1" refType="w"/>
                  <dgm:constr type="h" for="ch" forName="DropPin1" refType="h"/>
                  <dgm:constr type="ctrX" for="ch" forName="DropPin1" refType="w" fact="0.5"/>
                  <dgm:constr type="ctrY" for="ch" forName="DropPin1" refType="h" fact="0.5"/>
                  <dgm:constr type="w" for="ch" forName="Ellipse1" refType="w" refFor="ch" refForName="DropPin1" fact="0.55"/>
                  <dgm:constr type="h" for="ch" forName="Ellipse1" refType="w" refFor="ch" refForName="DropPin1" fact="0.55"/>
                  <dgm:constr type="ctrX" for="ch" forName="Ellipse1" refType="ctrX" refFor="ch" refForName="DropPin1"/>
                  <dgm:constr type="ctrY" for="ch" forName="Ellipse1" refType="ctrY" refFor="ch" refForName="DropPin1"/>
                </dgm:constrLst>
                <dgm:layoutNode name="DropPin1" styleLbl="alignNode1">
                  <dgm:alg type="sp"/>
                  <dgm:choose name="CaseForPlacingTearDropAboveAndBelowDivider1">
                    <dgm:if name="CaseForPlacingTearDropAboveDivider1" axis="self" ptType="node" func="posOdd" op="equ" val="1">
                      <dgm:shape xmlns:r="http://schemas.openxmlformats.org/officeDocument/2006/relationships" rot="135" type="teardrop" r:blip="">
                        <dgm:adjLst>
                          <dgm:adj idx="1" val="1.15"/>
                        </dgm:adjLst>
                      </dgm:shape>
                    </dgm:if>
                    <dgm:else name="CaseForPlacingTearDropBelowDivider1">
                      <dgm:shape xmlns:r="http://schemas.openxmlformats.org/officeDocument/2006/relationships" rot="-45" type="teardrop" r:blip="">
                        <dgm:adjLst>
                          <dgm:adj idx="1" val="1.15"/>
                        </dgm:adjLst>
                      </dgm:shape>
                    </dgm:else>
                  </dgm:choose>
                  <dgm:presOf/>
                  <dgm:constrLst/>
                </dgm:layoutNode>
                <dgm:layoutNode name="Ellipse1" styleLbl="fgAcc1" moveWith="DropPin1">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1" styleLbl="revTx" moveWith="L1TextContainer">
                <dgm:varLst>
                  <dgm:bulletEnabled val="1"/>
                </dgm:varLst>
                <dgm:choose name="casesForTxtDirLogic1">
                  <dgm:if name="Name771"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dgm:constr type="tMarg" refType="primFontSz" fact="0.5"/>
                      <dgm:constr type="bMarg" refType="primFontSz" fact="0.75"/>
                    </dgm:constrLst>
                  </dgm:if>
                  <dgm:else name="Name881">
                    <dgm:alg type="tx">
                      <dgm:param type="txAnchorVert" val="b"/>
                      <dgm:param type="parTxLTRAlign" val="l"/>
                      <dgm:param type="parTxRTLAlign" val="l"/>
                      <dgm:param type="txAnchorVertCh" val="b"/>
                      <dgm:param type="shpTxRTLAlignCh" val="l"/>
                      <dgm:param type="shpTxLTRAlignCh" val="l"/>
                    </dgm:alg>
                    <dgm:constrLst>
                      <dgm:constr type="lMarg"/>
                      <dgm:constr type="rMarg" refType="primFontSz" fact="0.5"/>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1"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1"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1">
                <dgm:alg type="sp"/>
                <dgm:shape xmlns:r="http://schemas.openxmlformats.org/officeDocument/2006/relationships" r:blip="">
                  <dgm:adjLst/>
                </dgm:shape>
                <dgm:presOf/>
                <dgm:constrLst/>
              </dgm:layoutNode>
            </dgm:layoutNode>
            <dgm:forEach name="Name281" axis="followSib" ptType="sibTrans" cnt="1">
              <dgm:layoutNode name="spaceBetweenRectangles1">
                <dgm:alg type="sp"/>
                <dgm:shape xmlns:r="http://schemas.openxmlformats.org/officeDocument/2006/relationships" r:blip="">
                  <dgm:adjLst/>
                </dgm:shape>
                <dgm:presOf/>
                <dgm:constrLst/>
                <dgm:ruleLst/>
              </dgm:layoutNode>
            </dgm:forEach>
          </dgm:forEach>
        </dgm:if>
        <dgm:else name="MoreThanTwoNodes">
          <dgm:forEach name="nodesForEach" axis="ch" ptType="node">
            <dgm:layoutNode name="composite">
              <dgm:alg type="composite"/>
              <dgm:shape xmlns:r="http://schemas.openxmlformats.org/officeDocument/2006/relationships" r:blip="">
                <dgm:adjLst/>
              </dgm:shape>
              <dgm:choose name="CaseForLayoutDirection">
                <dgm:if name="CaseForLayoutDirectionLTR" func="var" arg="dir" op="equ" val="norm">
                  <dgm:choose name="CaseForPlacingNodesAboveAndBelowDividerLTR">
                    <dgm:if name="CaseForPlacingNodeAboveDividerLTR"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LTR">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if>
                <dgm:else name="CaseForLayoutDirectionRTL">
                  <dgm:choose name="CaseForPlacingNodesAboveAndBelowDividerRTL">
                    <dgm:if name="CaseForPlacingNodeAboveDividerRTL"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RTL">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else>
              </dgm:choose>
              <dgm:layoutNode name="ConnectorPoint" styleLbl="lnNode1" moveWith="ConnectLine">
                <dgm:alg type="sp"/>
                <dgm:shape xmlns:r="http://schemas.openxmlformats.org/officeDocument/2006/relationships" type="ellipse" r:blip="" zOrderOff="10">
                  <dgm:adjLst/>
                  <dgm:extLst>
                    <a:ext uri="{B698B0E9-8C71-41B9-8309-B3DCBF30829C}">
                      <dgm1612:spPr xmlns:dgm1612="http://schemas.microsoft.com/office/drawing/2016/12/diagram">
                        <a:ln w="6350"/>
                      </dgm1612:spPr>
                    </a:ext>
                  </dgm:extLst>
                </dgm:shape>
                <dgm:presOf/>
                <dgm:constrLst>
                  <dgm:constr type="w" refType="h" op="equ"/>
                </dgm:constrLst>
              </dgm:layoutNode>
              <dgm:layoutNode name="DropPinPlaceHolder">
                <dgm:alg type="composite"/>
                <dgm:shape xmlns:r="http://schemas.openxmlformats.org/officeDocument/2006/relationships" r:blip="">
                  <dgm:adjLst/>
                </dgm:shape>
                <dgm:constrLst>
                  <dgm:constr type="w" for="ch" forName="DropPin" refType="w"/>
                  <dgm:constr type="h" for="ch" forName="DropPin" refType="h"/>
                  <dgm:constr type="ctrX" for="ch" forName="DropPin" refType="w" fact="0.5"/>
                  <dgm:constr type="ctrY" for="ch" forName="DropPin" refType="h" fact="0.5"/>
                  <dgm:constr type="w" for="ch" forName="Ellipse" refType="w" refFor="ch" refForName="DropPin" fact="0.55"/>
                  <dgm:constr type="h" for="ch" forName="Ellipse" refType="w" refFor="ch" refForName="DropPin" fact="0.55"/>
                  <dgm:constr type="ctrX" for="ch" forName="Ellipse" refType="ctrX" refFor="ch" refForName="DropPin"/>
                  <dgm:constr type="ctrY" for="ch" forName="Ellipse" refType="ctrY" refFor="ch" refForName="DropPin"/>
                </dgm:constrLst>
                <dgm:layoutNode name="DropPin" styleLbl="alignNode1">
                  <dgm:alg type="sp"/>
                  <dgm:choose name="CaseForPlacingTearDropAboveAndBelowDivider">
                    <dgm:if name="CaseForPlacingTearDropAboveDivider" axis="self" ptType="node" func="posOdd" op="equ" val="1">
                      <dgm:shape xmlns:r="http://schemas.openxmlformats.org/officeDocument/2006/relationships" rot="135" type="teardrop" r:blip="">
                        <dgm:adjLst>
                          <dgm:adj idx="1" val="1.15"/>
                        </dgm:adjLst>
                      </dgm:shape>
                    </dgm:if>
                    <dgm:else name="CaseForPlacingTearDropBelowDivider">
                      <dgm:shape xmlns:r="http://schemas.openxmlformats.org/officeDocument/2006/relationships" rot="-45" type="teardrop" r:blip="">
                        <dgm:adjLst>
                          <dgm:adj idx="1" val="1.15"/>
                        </dgm:adjLst>
                      </dgm:shape>
                    </dgm:else>
                  </dgm:choose>
                  <dgm:presOf/>
                  <dgm:constrLst/>
                </dgm:layoutNode>
                <dgm:layoutNode name="Ellipse" styleLbl="fgAcc1" moveWith="DropPin">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 styleLbl="revTx" moveWith="L1TextContainer">
                <dgm:varLst>
                  <dgm:bulletEnabled val="1"/>
                </dgm:varLst>
                <dgm:choose name="casesForTxtDirLogic">
                  <dgm:if name="Name77"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refType="primFontSz" fact="0.5"/>
                      <dgm:constr type="tMarg" refType="primFontSz" fact="0.5"/>
                      <dgm:constr type="bMarg" refType="primFontSz" fact="0.75"/>
                    </dgm:constrLst>
                  </dgm:if>
                  <dgm:else name="Name88">
                    <dgm:alg type="tx">
                      <dgm:param type="txAnchorVert" val="b"/>
                      <dgm:param type="parTxLTRAlign" val="l"/>
                      <dgm:param type="parTxRTLAlign" val="l"/>
                      <dgm:param type="txAnchorVertCh" val="b"/>
                      <dgm:param type="shpTxRTLAlignCh" val="l"/>
                      <dgm:param type="shpTxLTRAlignCh" val="l"/>
                    </dgm:alg>
                    <dgm:constrLst>
                      <dgm:constr type="lMarg"/>
                      <dgm:constr type="rMarg"/>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
                <dgm:alg type="sp"/>
                <dgm:shape xmlns:r="http://schemas.openxmlformats.org/officeDocument/2006/relationships" r:blip="">
                  <dgm:adjLst/>
                </dgm:shape>
                <dgm:presOf/>
                <dgm:constrLst/>
              </dgm:layoutNode>
            </dgm:layoutNode>
            <dgm:forEach name="Name28" axis="followSib" ptType="sibTrans" cnt="1">
              <dgm:layoutNode name="spaceBetweenRectangles">
                <dgm:alg type="sp"/>
                <dgm:shape xmlns:r="http://schemas.openxmlformats.org/officeDocument/2006/relationships" r:blip="">
                  <dgm:adjLst/>
                </dgm:shape>
                <dgm:presOf/>
                <dgm:constrLst/>
                <dgm:ruleLst/>
              </dgm:layoutNode>
            </dgm:forEach>
          </dgm:forEach>
        </dgm:else>
      </dgm:choose>
    </dgm:layoutNode>
  </dgm:layoutNode>
  <dgm:extLst>
    <a:ext uri="{68A01E43-0DF5-4B5B-8FA6-DAF915123BFB}">
      <dgm1612:lstStyle xmlns:dgm1612="http://schemas.microsoft.com/office/drawing/2016/12/diagram">
        <a:lvl1pPr>
          <a:defRPr b="1"/>
        </a:lvl1pPr>
      </dgm1612:lstStyle>
    </a:ext>
  </dgm:extLst>
</dgm:layoutDef>
</file>

<file path=xl/diagrams/layout4.xml><?xml version="1.0" encoding="utf-8"?>
<dgm:layoutDef xmlns:dgm="http://schemas.openxmlformats.org/drawingml/2006/diagram" xmlns:a="http://schemas.openxmlformats.org/drawingml/2006/main" uniqueId="urn:microsoft.com/office/officeart/2017/3/layout/DropPinTimeline">
  <dgm:title val="Drop Pin Timeline"/>
  <dgm:desc val="Use to show a list of events in chronological order. An invisible box next to the pin contains the date and the description is immediately below. It can display a medium amount of text and medium length date format."/>
  <dgm:catLst>
    <dgm:cat type="timeline" pri="500"/>
    <dgm:cat type="process" pri="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
    <dgm:varLst>
      <dgm:chMax/>
      <dgm:chPref/>
      <dgm:animLvl val="lvl"/>
    </dgm:varLst>
    <dgm:alg type="composite"/>
    <dgm:shape xmlns:r="http://schemas.openxmlformats.org/officeDocument/2006/relationships" r:blip="">
      <dgm:adjLst/>
    </dgm:shape>
    <dgm:constrLst>
      <dgm:constr type="w" for="ch" forName="divider" refType="w"/>
      <dgm:constr type="h" for="ch" forName="divider"/>
      <dgm:constr type="ctrY" for="ch" forName="divider" refType="h" fact="0.5"/>
      <dgm:constr type="l" for="ch" forName="divider"/>
      <dgm:constr type="w" for="ch" forName="nodes" refType="w"/>
      <dgm:constr type="h" for="ch" forName="nodes" refType="h" fact="0.8"/>
      <dgm:constr type="ctrY" for="ch" forName="nodes" refType="h" fact="0.5"/>
    </dgm:constrLst>
    <dgm:layoutNode name="divider" styleLbl="fgAcc1">
      <dgm:alg type="sp"/>
      <dgm:choose name="ArrowShape">
        <dgm:if name="ArrowShapeLTR" func="var" arg="dir" op="equ" val="norm">
          <dgm:shape xmlns:r="http://schemas.openxmlformats.org/officeDocument/2006/relationships" type="line" r:blip="" zOrderOff="-1">
            <dgm:adjLst/>
            <dgm:extLst>
              <a:ext uri="{B698B0E9-8C71-41B9-8309-B3DCBF30829C}">
                <dgm1612:spPr xmlns:dgm1612="http://schemas.microsoft.com/office/drawing/2016/12/diagram">
                  <a:ln w="19050">
                    <a:solidFill>
                      <a:srgbClr val="000000"/>
                    </a:solidFill>
                    <a:tailEnd type="triangle" w="lg" len="lg"/>
                  </a:ln>
                </dgm1612:spPr>
              </a:ext>
            </dgm:extLst>
          </dgm:shape>
        </dgm:if>
        <dgm:else name="ArrowShapeRTL">
          <dgm:shape xmlns:r="http://schemas.openxmlformats.org/officeDocument/2006/relationships" type="line" r:blip="" zOrderOff="-1">
            <dgm:adjLst/>
            <dgm:extLst>
              <a:ext uri="{B698B0E9-8C71-41B9-8309-B3DCBF30829C}">
                <dgm1612:spPr xmlns:dgm1612="http://schemas.microsoft.com/office/drawing/2016/12/diagram">
                  <a:ln>
                    <a:solidFill>
                      <a:srgbClr val="000000"/>
                    </a:solidFill>
                    <a:headEnd type="triangle" w="lg" len="lg"/>
                  </a:ln>
                </dgm1612:spPr>
              </a:ext>
            </dgm:extLst>
          </dgm:shape>
        </dgm:else>
      </dgm:choose>
      <dgm:presOf/>
      <dgm:constrLst/>
      <dgm:ruleLst/>
    </dgm:layoutNode>
    <dgm:layoutNode name="nodes">
      <dgm:varLst>
        <dgm:chMax/>
        <dgm:chPref/>
        <dgm:animLvl val="lvl"/>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constrLst>
        <dgm:constr type="primFontSz" for="des" forName="L1TextContainer" val="20"/>
        <dgm:constr type="primFontSz" for="des" forName="L2TextContainer" refType="primFontSz" refFor="des" refForName="L1TextContainer" op="equ" fact="0.75"/>
        <dgm:constr type="w" for="ch" forName="composite" refType="w"/>
        <dgm:constr type="h" for="ch" forName="composite" refType="h"/>
        <dgm:constr type="w" for="ch" forName="spaceBetweenRectangles" refType="w" refFor="ch" refForName="composite" fact="-0.5"/>
        <dgm:constr type="w" for="ch" ptType="sibTrans" op="equ"/>
        <dgm:constr type="primFontSz" for="des" forName="L1TextContainer" op="equ"/>
        <dgm:constr type="primFontSz" for="des" forName="L2TextContainer" op="equ"/>
        <dgm:constr type="primFontSz" for="des" forName="L1TextContainer1" val="20"/>
        <dgm:constr type="primFontSz" for="des" forName="L2TextContainer1" refType="primFontSz" refFor="des" refForName="L1TextContainer1" op="equ" fact="0.75"/>
        <dgm:constr type="w" for="ch" forName="composite1" refType="w"/>
        <dgm:constr type="h" for="ch" forName="composite1" refType="h"/>
        <dgm:constr type="w" for="ch" forName="spaceBetweenRectangles1" refType="w" refFor="ch" refForName="composite1" fact="0.28"/>
        <dgm:constr type="primFontSz" for="des" forName="L1TextContainer1" op="equ"/>
        <dgm:constr type="primFontSz" for="des" forName="L2TextContainer1" op="equ"/>
      </dgm:constrLst>
      <dgm:choose name="LayoutBasedOnCountOfNodes">
        <dgm:if name="LessThanOrEqualToTwoNodes" axis="ch" ptType="node" func="cnt" op="lte" val="2">
          <dgm:forEach name="nodesForEach1" axis="ch" ptType="node">
            <dgm:layoutNode name="composite1">
              <dgm:alg type="composite"/>
              <dgm:shape xmlns:r="http://schemas.openxmlformats.org/officeDocument/2006/relationships" r:blip="">
                <dgm:adjLst/>
              </dgm:shape>
              <dgm:choose name="CaseForLayoutDirection1">
                <dgm:if name="CaseForLayoutDirectionLTR1" func="var" arg="dir" op="equ" val="norm">
                  <dgm:choose name="CaseForPlacingNodesAboveAndBelowDividerLTR1">
                    <dgm:if name="CaseForPlacingNodeAboveDividerLTR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LTR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if>
                <dgm:else name="CaseForLayoutDirectionRTL1">
                  <dgm:choose name="CaseForPlacingNodesAboveAndBelowDividerRTL1">
                    <dgm:if name="CaseForPlacingNodeAboveDividerRTL1" axis="self" ptType="node" func="posOdd" op="equ" va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t" for="ch" forName="DropPinPlaceHolder1" refType="h" fact="0"/>
                        <dgm:constr type="l" for="ch" forName="DropPinPlaceHolder1" refType="w" fact="0"/>
                        <dgm:constr type="w" for="ch" forName="L2TextContainer1" refType="w" fact="0.83"/>
                        <dgm:constr type="l" for="ch" forName="L2TextContainer1" refType="r" refFor="ch" refForName="DropPinPlaceHolder1"/>
                        <dgm:constr type="t" for="ch" forName="L2TextContainer1" refType="b" refFor="ch" refForName="DropPinPlaceHolder1"/>
                        <dgm:constr type="b"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b" for="ch" forName="ConnectLine1" refType="h" fact="0.5"/>
                        <dgm:constr type="t" for="ch" forName="ConnectLine1" refType="b" refFor="ch" refForName="DropPinPlaceHolder1"/>
                        <dgm:constr type="w" for="ch" forName="EmptyPlaceHolder1" refType="w"/>
                        <dgm:constr type="h" for="ch" forName="EmptyPlaceHolder1" refType="h" fact="0.5"/>
                        <dgm:constr type="t" for="ch" forName="EmptyPlaceHolder1" refType="h" fact="0.5"/>
                      </dgm:constrLst>
                    </dgm:if>
                    <dgm:else name="CaseForPlacingNodeBelowDividerRTL1">
                      <dgm:constrLst>
                        <dgm:constr type="w" for="ch" forName="ConnectorPoint1" refType="h" refFor="ch" refForName="DropPinPlaceHolder1" fact="0.18"/>
                        <dgm:constr type="h" for="ch" forName="ConnectorPoint1" refType="h" refFor="ch" refForName="DropPinPlaceHolder1" fact="0.18"/>
                        <dgm:constr type="ctrX" for="ch" forName="ConnectorPoint1" refType="ctrX" refFor="ch" refForName="ConnectLine1"/>
                        <dgm:constr type="ctrY" for="ch" forName="ConnectorPoint1" refType="h" fact="0.5"/>
                        <dgm:constr type="w" for="ch" forName="DropPinPlaceHolder1" refType="h" fact="0.13"/>
                        <dgm:constr type="h" for="ch" forName="DropPinPlaceHolder1" refType="h" fact="0.13"/>
                        <dgm:constr type="b" for="ch" forName="DropPinPlaceHolder1" refType="h"/>
                        <dgm:constr type="l" for="ch" forName="DropPinPlaceHolder1" refType="w" fact="0"/>
                        <dgm:constr type="w" for="ch" forName="L2TextContainer1" refType="w" fact="0.83"/>
                        <dgm:constr type="l" for="ch" forName="L2TextContainer1" refType="r" refFor="ch" refForName="DropPinPlaceHolder1"/>
                        <dgm:constr type="b" for="ch" forName="L2TextContainer1" refType="t" refFor="ch" refForName="DropPinPlaceHolder1"/>
                        <dgm:constr type="t" for="ch" forName="L2TextContainer1" refType="h" fact="0.5"/>
                        <dgm:constr type="w" for="ch" forName="L1TextContainer1" refType="w" fact="0.83"/>
                        <dgm:constr type="l" for="ch" forName="L1TextContainer1" refType="r" refFor="ch" refForName="DropPinPlaceHolder1"/>
                        <dgm:constr type="b" for="ch" forName="L1TextContainer1" refType="b" refFor="ch" refForName="DropPinPlaceHolder1"/>
                        <dgm:constr type="t" for="ch" forName="L1TextContainer1" refType="t" refFor="ch" refForName="DropPinPlaceHolder1"/>
                        <dgm:constr type="w" for="ch" forName="ConnectLine1"/>
                        <dgm:constr type="ctrX" for="ch" forName="ConnectLine1" refType="ctrX" refFor="ch" refForName="DropPinPlaceHolder1"/>
                        <dgm:constr type="t" for="ch" forName="ConnectLine1" refType="h" fact="0.5"/>
                        <dgm:constr type="b" for="ch" forName="ConnectLine1" refType="t" refFor="ch" refForName="DropPinPlaceHolder1"/>
                        <dgm:constr type="w" for="ch" forName="EmptyPlaceHolder1" refType="w"/>
                        <dgm:constr type="h" for="ch" forName="EmptyPlaceHolder1" refType="h" fact="0.5"/>
                        <dgm:constr type="t" for="ch" forName="EmptyPlaceHolder1" refType="h" fact="0"/>
                      </dgm:constrLst>
                    </dgm:else>
                  </dgm:choose>
                </dgm:else>
              </dgm:choose>
              <dgm:layoutNode name="ConnectorPoint1" styleLbl="lnNode1" moveWith="ConnectLine1">
                <dgm:alg type="sp"/>
                <dgm:shape xmlns:r="http://schemas.openxmlformats.org/officeDocument/2006/relationships" type="ellipse" r:blip="" zOrderOff="10">
                  <dgm:adjLst/>
                </dgm:shape>
                <dgm:presOf/>
                <dgm:constrLst>
                  <dgm:constr type="w" refType="h" op="equ"/>
                </dgm:constrLst>
              </dgm:layoutNode>
              <dgm:layoutNode name="DropPinPlaceHolder1">
                <dgm:alg type="composite"/>
                <dgm:shape xmlns:r="http://schemas.openxmlformats.org/officeDocument/2006/relationships" r:blip="">
                  <dgm:adjLst/>
                </dgm:shape>
                <dgm:constrLst>
                  <dgm:constr type="w" for="ch" forName="DropPin1" refType="w"/>
                  <dgm:constr type="h" for="ch" forName="DropPin1" refType="h"/>
                  <dgm:constr type="ctrX" for="ch" forName="DropPin1" refType="w" fact="0.5"/>
                  <dgm:constr type="ctrY" for="ch" forName="DropPin1" refType="h" fact="0.5"/>
                  <dgm:constr type="w" for="ch" forName="Ellipse1" refType="w" refFor="ch" refForName="DropPin1" fact="0.55"/>
                  <dgm:constr type="h" for="ch" forName="Ellipse1" refType="w" refFor="ch" refForName="DropPin1" fact="0.55"/>
                  <dgm:constr type="ctrX" for="ch" forName="Ellipse1" refType="ctrX" refFor="ch" refForName="DropPin1"/>
                  <dgm:constr type="ctrY" for="ch" forName="Ellipse1" refType="ctrY" refFor="ch" refForName="DropPin1"/>
                </dgm:constrLst>
                <dgm:layoutNode name="DropPin1" styleLbl="alignNode1">
                  <dgm:alg type="sp"/>
                  <dgm:choose name="CaseForPlacingTearDropAboveAndBelowDivider1">
                    <dgm:if name="CaseForPlacingTearDropAboveDivider1" axis="self" ptType="node" func="posOdd" op="equ" val="1">
                      <dgm:shape xmlns:r="http://schemas.openxmlformats.org/officeDocument/2006/relationships" rot="135" type="teardrop" r:blip="">
                        <dgm:adjLst>
                          <dgm:adj idx="1" val="1.15"/>
                        </dgm:adjLst>
                      </dgm:shape>
                    </dgm:if>
                    <dgm:else name="CaseForPlacingTearDropBelowDivider1">
                      <dgm:shape xmlns:r="http://schemas.openxmlformats.org/officeDocument/2006/relationships" rot="-45" type="teardrop" r:blip="">
                        <dgm:adjLst>
                          <dgm:adj idx="1" val="1.15"/>
                        </dgm:adjLst>
                      </dgm:shape>
                    </dgm:else>
                  </dgm:choose>
                  <dgm:presOf/>
                  <dgm:constrLst/>
                </dgm:layoutNode>
                <dgm:layoutNode name="Ellipse1" styleLbl="fgAcc1" moveWith="DropPin1">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1" styleLbl="revTx" moveWith="L1TextContainer">
                <dgm:varLst>
                  <dgm:bulletEnabled val="1"/>
                </dgm:varLst>
                <dgm:choose name="casesForTxtDirLogic1">
                  <dgm:if name="Name771"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dgm:constr type="tMarg" refType="primFontSz" fact="0.5"/>
                      <dgm:constr type="bMarg" refType="primFontSz" fact="0.75"/>
                    </dgm:constrLst>
                  </dgm:if>
                  <dgm:else name="Name881">
                    <dgm:alg type="tx">
                      <dgm:param type="txAnchorVert" val="b"/>
                      <dgm:param type="parTxLTRAlign" val="l"/>
                      <dgm:param type="parTxRTLAlign" val="l"/>
                      <dgm:param type="txAnchorVertCh" val="b"/>
                      <dgm:param type="shpTxRTLAlignCh" val="l"/>
                      <dgm:param type="shpTxLTRAlignCh" val="l"/>
                    </dgm:alg>
                    <dgm:constrLst>
                      <dgm:constr type="lMarg"/>
                      <dgm:constr type="rMarg" refType="primFontSz" fact="0.5"/>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1"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1"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1">
                <dgm:alg type="sp"/>
                <dgm:shape xmlns:r="http://schemas.openxmlformats.org/officeDocument/2006/relationships" r:blip="">
                  <dgm:adjLst/>
                </dgm:shape>
                <dgm:presOf/>
                <dgm:constrLst/>
              </dgm:layoutNode>
            </dgm:layoutNode>
            <dgm:forEach name="Name281" axis="followSib" ptType="sibTrans" cnt="1">
              <dgm:layoutNode name="spaceBetweenRectangles1">
                <dgm:alg type="sp"/>
                <dgm:shape xmlns:r="http://schemas.openxmlformats.org/officeDocument/2006/relationships" r:blip="">
                  <dgm:adjLst/>
                </dgm:shape>
                <dgm:presOf/>
                <dgm:constrLst/>
                <dgm:ruleLst/>
              </dgm:layoutNode>
            </dgm:forEach>
          </dgm:forEach>
        </dgm:if>
        <dgm:else name="MoreThanTwoNodes">
          <dgm:forEach name="nodesForEach" axis="ch" ptType="node">
            <dgm:layoutNode name="composite">
              <dgm:alg type="composite"/>
              <dgm:shape xmlns:r="http://schemas.openxmlformats.org/officeDocument/2006/relationships" r:blip="">
                <dgm:adjLst/>
              </dgm:shape>
              <dgm:choose name="CaseForLayoutDirection">
                <dgm:if name="CaseForLayoutDirectionLTR" func="var" arg="dir" op="equ" val="norm">
                  <dgm:choose name="CaseForPlacingNodesAboveAndBelowDividerLTR">
                    <dgm:if name="CaseForPlacingNodeAboveDividerLTR"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LTR">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ConnectLine"/>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if>
                <dgm:else name="CaseForLayoutDirectionRTL">
                  <dgm:choose name="CaseForPlacingNodesAboveAndBelowDividerRTL">
                    <dgm:if name="CaseForPlacingNodeAboveDividerRTL" axis="self" ptType="node" func="posOdd" op="equ" val="1">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t" for="ch" forName="DropPinPlaceHolder" refType="h" fact="0"/>
                        <dgm:constr type="l" for="ch" forName="DropPinPlaceHolder" refType="w" fact="0"/>
                        <dgm:constr type="w" for="ch" forName="L2TextContainer" refType="w" fact="0.83"/>
                        <dgm:constr type="l" for="ch" forName="L2TextContainer" refType="r" refFor="ch" refForName="DropPinPlaceHolder"/>
                        <dgm:constr type="t" for="ch" forName="L2TextContainer" refType="b" refFor="ch" refForName="DropPinPlaceHolder"/>
                        <dgm:constr type="b"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b" for="ch" forName="ConnectLine" refType="h" fact="0.5"/>
                        <dgm:constr type="t" for="ch" forName="ConnectLine" refType="b" refFor="ch" refForName="DropPinPlaceHolder"/>
                        <dgm:constr type="w" for="ch" forName="EmptyPlaceHolder" refType="w"/>
                        <dgm:constr type="h" for="ch" forName="EmptyPlaceHolder" refType="h" fact="0.5"/>
                        <dgm:constr type="t" for="ch" forName="EmptyPlaceHolder" refType="h" fact="0.5"/>
                      </dgm:constrLst>
                    </dgm:if>
                    <dgm:else name="CaseForPlacingNodeBelowDividerRTL">
                      <dgm:constrLst>
                        <dgm:constr type="w" for="ch" forName="ConnectorPoint" refType="h" refFor="ch" refForName="DropPinPlaceHolder" fact="0.18"/>
                        <dgm:constr type="h" for="ch" forName="ConnectorPoint" refType="h" refFor="ch" refForName="DropPinPlaceHolder" fact="0.18"/>
                        <dgm:constr type="ctrX" for="ch" forName="ConnectorPoint" refType="ctrX" refFor="ch" refForName="DropPinPlaceHolder"/>
                        <dgm:constr type="ctrY" for="ch" forName="ConnectorPoint" refType="h" fact="0.5"/>
                        <dgm:constr type="w" for="ch" forName="DropPinPlaceHolder" refType="h" fact="0.13"/>
                        <dgm:constr type="h" for="ch" forName="DropPinPlaceHolder" refType="h" fact="0.13"/>
                        <dgm:constr type="b" for="ch" forName="DropPinPlaceHolder" refType="h"/>
                        <dgm:constr type="l" for="ch" forName="DropPinPlaceHolder" refType="w" fact="0"/>
                        <dgm:constr type="w" for="ch" forName="L2TextContainer" refType="w" fact="0.83"/>
                        <dgm:constr type="l" for="ch" forName="L2TextContainer" refType="r" refFor="ch" refForName="DropPinPlaceHolder"/>
                        <dgm:constr type="b" for="ch" forName="L2TextContainer" refType="t" refFor="ch" refForName="DropPinPlaceHolder"/>
                        <dgm:constr type="t" for="ch" forName="L2TextContainer" refType="h" fact="0.5"/>
                        <dgm:constr type="w" for="ch" forName="L1TextContainer" refType="w" fact="0.83"/>
                        <dgm:constr type="l" for="ch" forName="L1TextContainer" refType="r" refFor="ch" refForName="DropPinPlaceHolder"/>
                        <dgm:constr type="b" for="ch" forName="L1TextContainer" refType="b" refFor="ch" refForName="DropPinPlaceHolder"/>
                        <dgm:constr type="t" for="ch" forName="L1TextContainer" refType="t" refFor="ch" refForName="DropPinPlaceHolder"/>
                        <dgm:constr type="w" for="ch" forName="ConnectLine"/>
                        <dgm:constr type="ctrX" for="ch" forName="ConnectLine" refType="ctrX" refFor="ch" refForName="DropPinPlaceHolder"/>
                        <dgm:constr type="t" for="ch" forName="ConnectLine" refType="h" fact="0.5"/>
                        <dgm:constr type="b" for="ch" forName="ConnectLine" refType="t" refFor="ch" refForName="DropPinPlaceHolder"/>
                        <dgm:constr type="w" for="ch" forName="EmptyPlaceHolder" refType="w"/>
                        <dgm:constr type="h" for="ch" forName="EmptyPlaceHolder" refType="h" fact="0.5"/>
                        <dgm:constr type="t" for="ch" forName="EmptyPlaceHolder" refType="h" fact="0"/>
                      </dgm:constrLst>
                    </dgm:else>
                  </dgm:choose>
                </dgm:else>
              </dgm:choose>
              <dgm:layoutNode name="ConnectorPoint" styleLbl="lnNode1" moveWith="ConnectLine">
                <dgm:alg type="sp"/>
                <dgm:shape xmlns:r="http://schemas.openxmlformats.org/officeDocument/2006/relationships" type="ellipse" r:blip="" zOrderOff="10">
                  <dgm:adjLst/>
                  <dgm:extLst>
                    <a:ext uri="{B698B0E9-8C71-41B9-8309-B3DCBF30829C}">
                      <dgm1612:spPr xmlns:dgm1612="http://schemas.microsoft.com/office/drawing/2016/12/diagram">
                        <a:ln w="6350"/>
                      </dgm1612:spPr>
                    </a:ext>
                  </dgm:extLst>
                </dgm:shape>
                <dgm:presOf/>
                <dgm:constrLst>
                  <dgm:constr type="w" refType="h" op="equ"/>
                </dgm:constrLst>
              </dgm:layoutNode>
              <dgm:layoutNode name="DropPinPlaceHolder">
                <dgm:alg type="composite"/>
                <dgm:shape xmlns:r="http://schemas.openxmlformats.org/officeDocument/2006/relationships" r:blip="">
                  <dgm:adjLst/>
                </dgm:shape>
                <dgm:constrLst>
                  <dgm:constr type="w" for="ch" forName="DropPin" refType="w"/>
                  <dgm:constr type="h" for="ch" forName="DropPin" refType="h"/>
                  <dgm:constr type="ctrX" for="ch" forName="DropPin" refType="w" fact="0.5"/>
                  <dgm:constr type="ctrY" for="ch" forName="DropPin" refType="h" fact="0.5"/>
                  <dgm:constr type="w" for="ch" forName="Ellipse" refType="w" refFor="ch" refForName="DropPin" fact="0.55"/>
                  <dgm:constr type="h" for="ch" forName="Ellipse" refType="w" refFor="ch" refForName="DropPin" fact="0.55"/>
                  <dgm:constr type="ctrX" for="ch" forName="Ellipse" refType="ctrX" refFor="ch" refForName="DropPin"/>
                  <dgm:constr type="ctrY" for="ch" forName="Ellipse" refType="ctrY" refFor="ch" refForName="DropPin"/>
                </dgm:constrLst>
                <dgm:layoutNode name="DropPin" styleLbl="alignNode1">
                  <dgm:alg type="sp"/>
                  <dgm:choose name="CaseForPlacingTearDropAboveAndBelowDivider">
                    <dgm:if name="CaseForPlacingTearDropAboveDivider" axis="self" ptType="node" func="posOdd" op="equ" val="1">
                      <dgm:shape xmlns:r="http://schemas.openxmlformats.org/officeDocument/2006/relationships" rot="135" type="teardrop" r:blip="">
                        <dgm:adjLst>
                          <dgm:adj idx="1" val="1.15"/>
                        </dgm:adjLst>
                      </dgm:shape>
                    </dgm:if>
                    <dgm:else name="CaseForPlacingTearDropBelowDivider">
                      <dgm:shape xmlns:r="http://schemas.openxmlformats.org/officeDocument/2006/relationships" rot="-45" type="teardrop" r:blip="">
                        <dgm:adjLst>
                          <dgm:adj idx="1" val="1.15"/>
                        </dgm:adjLst>
                      </dgm:shape>
                    </dgm:else>
                  </dgm:choose>
                  <dgm:presOf/>
                  <dgm:constrLst/>
                </dgm:layoutNode>
                <dgm:layoutNode name="Ellipse" styleLbl="fgAcc1" moveWith="DropPin">
                  <dgm:alg type="sp"/>
                  <dgm:shape xmlns:r="http://schemas.openxmlformats.org/officeDocument/2006/relationships" type="ellipse" r:blip="">
                    <dgm:adjLst/>
                    <dgm:extLst>
                      <a:ext uri="{B698B0E9-8C71-41B9-8309-B3DCBF30829C}">
                        <dgm1612:spPr xmlns:dgm1612="http://schemas.microsoft.com/office/drawing/2016/12/diagram">
                          <a:ln>
                            <a:noFill/>
                          </a:ln>
                        </dgm1612:spPr>
                      </a:ext>
                    </dgm:extLst>
                  </dgm:shape>
                  <dgm:presOf/>
                  <dgm:constrLst/>
                </dgm:layoutNode>
              </dgm:layoutNode>
              <dgm:layoutNode name="L2TextContainer" styleLbl="revTx" moveWith="L1TextContainer">
                <dgm:varLst>
                  <dgm:bulletEnabled val="1"/>
                </dgm:varLst>
                <dgm:choose name="casesForTxtDirLogic">
                  <dgm:if name="Name77" axis="self" ptType="node" func="posOdd" op="equ" val="1">
                    <dgm:alg type="tx">
                      <dgm:param type="txAnchorVert" val="t"/>
                      <dgm:param type="parTxLTRAlign" val="l"/>
                      <dgm:param type="parTxRTLAlign" val="l"/>
                      <dgm:param type="txAnchorVertCh" val="t"/>
                      <dgm:param type="shpTxRTLAlignCh" val="l"/>
                      <dgm:param type="shpTxLTRAlignCh" val="l"/>
                    </dgm:alg>
                    <dgm:constrLst>
                      <dgm:constr type="lMarg"/>
                      <dgm:constr type="rMarg" refType="primFontSz" fact="0.5"/>
                      <dgm:constr type="tMarg" refType="primFontSz" fact="0.5"/>
                      <dgm:constr type="bMarg" refType="primFontSz" fact="0.75"/>
                    </dgm:constrLst>
                  </dgm:if>
                  <dgm:else name="Name88">
                    <dgm:alg type="tx">
                      <dgm:param type="txAnchorVert" val="b"/>
                      <dgm:param type="parTxLTRAlign" val="l"/>
                      <dgm:param type="parTxRTLAlign" val="l"/>
                      <dgm:param type="txAnchorVertCh" val="b"/>
                      <dgm:param type="shpTxRTLAlignCh" val="l"/>
                      <dgm:param type="shpTxLTRAlignCh" val="l"/>
                    </dgm:alg>
                    <dgm:constrLst>
                      <dgm:constr type="lMarg"/>
                      <dgm:constr type="rMarg"/>
                      <dgm:constr type="tMarg" refType="primFontSz" fact="0.75"/>
                      <dgm:constr type="bMarg" refType="primFontSz" fact="0.5"/>
                    </dgm:constrLst>
                  </dgm:else>
                </dgm:choose>
                <dgm:shape xmlns:r="http://schemas.openxmlformats.org/officeDocument/2006/relationships" type="rect" r:blip="">
                  <dgm:adjLst/>
                </dgm:shape>
                <dgm:presOf axis="des" ptType="node"/>
                <dgm:ruleLst>
                  <dgm:rule type="primFontSz" val="11" fact="NaN" max="NaN"/>
                </dgm:ruleLst>
              </dgm:layoutNode>
              <dgm:layoutNode name="L1TextContainer" styleLbl="revTx">
                <dgm:varLst>
                  <dgm:chMax val="1"/>
                  <dgm:chPref val="1"/>
                  <dgm:bulletEnabled val="1"/>
                </dgm:varLst>
                <dgm:alg type="tx">
                  <dgm:param type="txAnchorVert" val="mid"/>
                  <dgm:param type="parTxLTRAlign" val="l"/>
                  <dgm:param type="parTxRTLAlign" val="l"/>
                </dgm:alg>
                <dgm:shape xmlns:r="http://schemas.openxmlformats.org/officeDocument/2006/relationships" type="rect" r:blip="">
                  <dgm:adjLst/>
                </dgm:shape>
                <dgm:presOf axis="self"/>
                <dgm:constrLst>
                  <dgm:constr type="lMarg"/>
                  <dgm:constr type="rMarg" refType="primFontSz" fact="0.5"/>
                  <dgm:constr type="tMarg"/>
                  <dgm:constr type="bMarg"/>
                </dgm:constrLst>
                <dgm:ruleLst>
                  <dgm:rule type="primFontSz" val="13" fact="NaN" max="NaN"/>
                </dgm:ruleLst>
              </dgm:layoutNode>
              <dgm:layoutNode name="ConnectLine" styleLbl="sibTrans1D1">
                <dgm:alg type="sp"/>
                <dgm:shape xmlns:r="http://schemas.openxmlformats.org/officeDocument/2006/relationships" type="line" r:blip="">
                  <dgm:adjLst/>
                  <dgm:extLst>
                    <a:ext uri="{B698B0E9-8C71-41B9-8309-B3DCBF30829C}">
                      <dgm1612:spPr xmlns:dgm1612="http://schemas.microsoft.com/office/drawing/2016/12/diagram">
                        <a:ln w="12700">
                          <a:prstDash val="dash"/>
                        </a:ln>
                      </dgm1612:spPr>
                    </a:ext>
                  </dgm:extLst>
                </dgm:shape>
                <dgm:presOf/>
                <dgm:constrLst/>
              </dgm:layoutNode>
              <dgm:layoutNode name="EmptyPlaceHolder">
                <dgm:alg type="sp"/>
                <dgm:shape xmlns:r="http://schemas.openxmlformats.org/officeDocument/2006/relationships" r:blip="">
                  <dgm:adjLst/>
                </dgm:shape>
                <dgm:presOf/>
                <dgm:constrLst/>
              </dgm:layoutNode>
            </dgm:layoutNode>
            <dgm:forEach name="Name28" axis="followSib" ptType="sibTrans" cnt="1">
              <dgm:layoutNode name="spaceBetweenRectangles">
                <dgm:alg type="sp"/>
                <dgm:shape xmlns:r="http://schemas.openxmlformats.org/officeDocument/2006/relationships" r:blip="">
                  <dgm:adjLst/>
                </dgm:shape>
                <dgm:presOf/>
                <dgm:constrLst/>
                <dgm:ruleLst/>
              </dgm:layoutNode>
            </dgm:forEach>
          </dgm:forEach>
        </dgm:else>
      </dgm:choose>
    </dgm:layoutNode>
  </dgm:layoutNode>
  <dgm:extLst>
    <a:ext uri="{68A01E43-0DF5-4B5B-8FA6-DAF915123BFB}">
      <dgm1612:lstStyle xmlns:dgm1612="http://schemas.microsoft.com/office/drawing/2016/12/diagram">
        <a:lvl1pPr>
          <a:defRPr b="1"/>
        </a:lvl1pPr>
      </dgm1612:lstStyle>
    </a:ext>
  </dgm:extLst>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Data" Target="../diagrams/data1.xml"/><Relationship Id="rId13" Type="http://schemas.openxmlformats.org/officeDocument/2006/relationships/chart" Target="../charts/chart1.xml"/><Relationship Id="rId18" Type="http://schemas.openxmlformats.org/officeDocument/2006/relationships/chart" Target="../charts/chart6.xml"/><Relationship Id="rId12" Type="http://schemas.microsoft.com/office/2007/relationships/diagramDrawing" Target="../diagrams/drawing1.xml"/><Relationship Id="rId17" Type="http://schemas.openxmlformats.org/officeDocument/2006/relationships/chart" Target="../charts/chart5.xml"/><Relationship Id="rId16" Type="http://schemas.openxmlformats.org/officeDocument/2006/relationships/chart" Target="../charts/chart4.xml"/><Relationship Id="rId20" Type="http://schemas.openxmlformats.org/officeDocument/2006/relationships/image" Target="../media/image1.png"/><Relationship Id="rId11" Type="http://schemas.openxmlformats.org/officeDocument/2006/relationships/diagramColors" Target="../diagrams/colors1.xml"/><Relationship Id="rId15" Type="http://schemas.openxmlformats.org/officeDocument/2006/relationships/chart" Target="../charts/chart3.xml"/><Relationship Id="rId10" Type="http://schemas.openxmlformats.org/officeDocument/2006/relationships/diagramQuickStyle" Target="../diagrams/quickStyle1.xml"/><Relationship Id="rId19" Type="http://schemas.openxmlformats.org/officeDocument/2006/relationships/chart" Target="../charts/chart7.xml"/><Relationship Id="rId9" Type="http://schemas.openxmlformats.org/officeDocument/2006/relationships/diagramLayout" Target="../diagrams/layout1.xml"/><Relationship Id="rId14"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6" Type="http://schemas.openxmlformats.org/officeDocument/2006/relationships/diagramQuickStyle" Target="../diagrams/quickStyle2.xml"/><Relationship Id="rId34" Type="http://schemas.openxmlformats.org/officeDocument/2006/relationships/chart" Target="../charts/chart10.xml"/><Relationship Id="rId25" Type="http://schemas.openxmlformats.org/officeDocument/2006/relationships/diagramLayout" Target="../diagrams/layout2.xml"/><Relationship Id="rId7" Type="http://schemas.openxmlformats.org/officeDocument/2006/relationships/image" Target="../media/image10.png"/><Relationship Id="rId33" Type="http://schemas.openxmlformats.org/officeDocument/2006/relationships/chart" Target="../charts/chart9.xml"/><Relationship Id="rId29" Type="http://schemas.openxmlformats.org/officeDocument/2006/relationships/customXml" Target="../ink/ink1.xml"/><Relationship Id="rId16" Type="http://schemas.openxmlformats.org/officeDocument/2006/relationships/image" Target="../media/image5.png"/><Relationship Id="rId24" Type="http://schemas.openxmlformats.org/officeDocument/2006/relationships/diagramData" Target="../diagrams/data2.xml"/><Relationship Id="rId32" Type="http://schemas.openxmlformats.org/officeDocument/2006/relationships/chart" Target="../charts/chart8.xml"/><Relationship Id="rId37" Type="http://schemas.openxmlformats.org/officeDocument/2006/relationships/chart" Target="../charts/chart13.xml"/><Relationship Id="rId28" Type="http://schemas.microsoft.com/office/2007/relationships/diagramDrawing" Target="../diagrams/drawing2.xml"/><Relationship Id="rId36" Type="http://schemas.openxmlformats.org/officeDocument/2006/relationships/chart" Target="../charts/chart12.xml"/><Relationship Id="rId31" Type="http://schemas.openxmlformats.org/officeDocument/2006/relationships/customXml" Target="../ink/ink3.xml"/><Relationship Id="rId27" Type="http://schemas.openxmlformats.org/officeDocument/2006/relationships/diagramColors" Target="../diagrams/colors2.xml"/><Relationship Id="rId30" Type="http://schemas.openxmlformats.org/officeDocument/2006/relationships/customXml" Target="../ink/ink2.xml"/><Relationship Id="rId35"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8" Type="http://schemas.microsoft.com/office/2007/relationships/diagramDrawing" Target="../diagrams/drawing3.xml"/><Relationship Id="rId13" Type="http://schemas.openxmlformats.org/officeDocument/2006/relationships/chart" Target="../charts/chart18.xml"/><Relationship Id="rId7" Type="http://schemas.openxmlformats.org/officeDocument/2006/relationships/diagramColors" Target="../diagrams/colors3.xml"/><Relationship Id="rId12" Type="http://schemas.openxmlformats.org/officeDocument/2006/relationships/chart" Target="../charts/chart17.xml"/><Relationship Id="rId6" Type="http://schemas.openxmlformats.org/officeDocument/2006/relationships/diagramQuickStyle" Target="../diagrams/quickStyle3.xml"/><Relationship Id="rId11" Type="http://schemas.openxmlformats.org/officeDocument/2006/relationships/chart" Target="../charts/chart16.xml"/><Relationship Id="rId5" Type="http://schemas.openxmlformats.org/officeDocument/2006/relationships/diagramLayout" Target="../diagrams/layout3.xml"/><Relationship Id="rId10" Type="http://schemas.openxmlformats.org/officeDocument/2006/relationships/chart" Target="../charts/chart15.xml"/><Relationship Id="rId4" Type="http://schemas.openxmlformats.org/officeDocument/2006/relationships/diagramData" Target="../diagrams/data3.xml"/><Relationship Id="rId9" Type="http://schemas.openxmlformats.org/officeDocument/2006/relationships/chart" Target="../charts/chart14.xml"/><Relationship Id="rId1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diagramLayout" Target="../diagrams/layout4.xml"/><Relationship Id="rId7" Type="http://schemas.openxmlformats.org/officeDocument/2006/relationships/chart" Target="../charts/chart20.xml"/><Relationship Id="rId2" Type="http://schemas.openxmlformats.org/officeDocument/2006/relationships/diagramData" Target="../diagrams/data4.xml"/><Relationship Id="rId6" Type="http://schemas.microsoft.com/office/2007/relationships/diagramDrawing" Target="../diagrams/drawing4.xml"/><Relationship Id="rId11" Type="http://schemas.openxmlformats.org/officeDocument/2006/relationships/chart" Target="../charts/chart24.xml"/><Relationship Id="rId5" Type="http://schemas.openxmlformats.org/officeDocument/2006/relationships/diagramColors" Target="../diagrams/colors4.xml"/><Relationship Id="rId10" Type="http://schemas.openxmlformats.org/officeDocument/2006/relationships/chart" Target="../charts/chart23.xml"/><Relationship Id="rId4" Type="http://schemas.openxmlformats.org/officeDocument/2006/relationships/diagramQuickStyle" Target="../diagrams/quickStyle4.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400538</xdr:colOff>
      <xdr:row>13</xdr:row>
      <xdr:rowOff>32290</xdr:rowOff>
    </xdr:to>
    <xdr:graphicFrame macro="">
      <xdr:nvGraphicFramePr>
        <xdr:cNvPr id="2" name="Chart 1" descr="Chart type: Clustered Column. 'Field2'&#10;&#10;Description automatically generated">
          <a:extLst>
            <a:ext uri="{FF2B5EF4-FFF2-40B4-BE49-F238E27FC236}">
              <a16:creationId xmlns:a16="http://schemas.microsoft.com/office/drawing/2014/main" id="{41CD9E4A-E2A5-44A2-83A3-6F90D42E8CE9}"/>
            </a:ext>
            <a:ext uri="{147F2762-F138-4A5C-976F-8EAC2B608ADB}">
              <a16:predDERef xmlns:a16="http://schemas.microsoft.com/office/drawing/2014/main" pred="{CD8CDE6D-F1AD-A114-2653-D85DCBF82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398721</xdr:colOff>
      <xdr:row>0</xdr:row>
      <xdr:rowOff>0</xdr:rowOff>
    </xdr:from>
    <xdr:to>
      <xdr:col>7</xdr:col>
      <xdr:colOff>576934</xdr:colOff>
      <xdr:row>13</xdr:row>
      <xdr:rowOff>43051</xdr:rowOff>
    </xdr:to>
    <xdr:graphicFrame macro="">
      <xdr:nvGraphicFramePr>
        <xdr:cNvPr id="3" name="Chart 2" descr="Chart type: Clustered Bar. 'Field2'&#10;&#10;Description automatically generated">
          <a:extLst>
            <a:ext uri="{FF2B5EF4-FFF2-40B4-BE49-F238E27FC236}">
              <a16:creationId xmlns:a16="http://schemas.microsoft.com/office/drawing/2014/main" id="{3FE2EC14-A9DC-41BA-9691-703DD26362A6}"/>
            </a:ext>
            <a:ext uri="{147F2762-F138-4A5C-976F-8EAC2B608ADB}">
              <a16:predDERef xmlns:a16="http://schemas.microsoft.com/office/drawing/2014/main" pred="{41CD9E4A-E2A5-44A2-83A3-6F90D42E8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332154</xdr:colOff>
      <xdr:row>13</xdr:row>
      <xdr:rowOff>0</xdr:rowOff>
    </xdr:from>
    <xdr:to>
      <xdr:col>10</xdr:col>
      <xdr:colOff>952500</xdr:colOff>
      <xdr:row>28</xdr:row>
      <xdr:rowOff>175173</xdr:rowOff>
    </xdr:to>
    <xdr:graphicFrame macro="">
      <xdr:nvGraphicFramePr>
        <xdr:cNvPr id="99" name="Chart 5" descr="Chart type: Pie. 'Field2'&#10;&#10;Description automatically generated">
          <a:extLst>
            <a:ext uri="{FF2B5EF4-FFF2-40B4-BE49-F238E27FC236}">
              <a16:creationId xmlns:a16="http://schemas.microsoft.com/office/drawing/2014/main" id="{FBBDA9D2-B5A5-4DB5-9C10-3470CA8F0907}"/>
            </a:ext>
            <a:ext uri="{147F2762-F138-4A5C-976F-8EAC2B608ADB}">
              <a16:predDERef xmlns:a16="http://schemas.microsoft.com/office/drawing/2014/main" pred="{E0A87373-EEB1-479E-BCEE-44179D81B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537308</xdr:colOff>
      <xdr:row>0</xdr:row>
      <xdr:rowOff>0</xdr:rowOff>
    </xdr:from>
    <xdr:to>
      <xdr:col>11</xdr:col>
      <xdr:colOff>648230</xdr:colOff>
      <xdr:row>12</xdr:row>
      <xdr:rowOff>176389</xdr:rowOff>
    </xdr:to>
    <xdr:graphicFrame macro="">
      <xdr:nvGraphicFramePr>
        <xdr:cNvPr id="96" name="Chart 9" descr="Chart type: Line. 'Field2' by 'Field1'&#10;&#10;Description automatically generated">
          <a:extLst>
            <a:ext uri="{FF2B5EF4-FFF2-40B4-BE49-F238E27FC236}">
              <a16:creationId xmlns:a16="http://schemas.microsoft.com/office/drawing/2014/main" id="{AB8C8504-30B3-4B2C-AA1C-69FDEC78314D}"/>
            </a:ext>
            <a:ext uri="{147F2762-F138-4A5C-976F-8EAC2B608ADB}">
              <a16:predDERef xmlns:a16="http://schemas.microsoft.com/office/drawing/2014/main" pred="{65C511E3-9B02-457F-ACF2-CC589FA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595923</xdr:colOff>
      <xdr:row>0</xdr:row>
      <xdr:rowOff>0</xdr:rowOff>
    </xdr:from>
    <xdr:to>
      <xdr:col>15</xdr:col>
      <xdr:colOff>1182077</xdr:colOff>
      <xdr:row>13</xdr:row>
      <xdr:rowOff>53065</xdr:rowOff>
    </xdr:to>
    <xdr:graphicFrame macro="">
      <xdr:nvGraphicFramePr>
        <xdr:cNvPr id="97" name="Chart 19" descr="Chart type: Line. 'Field2' by 'Field1'&#10;&#10;Description automatically generated">
          <a:extLst>
            <a:ext uri="{FF2B5EF4-FFF2-40B4-BE49-F238E27FC236}">
              <a16:creationId xmlns:a16="http://schemas.microsoft.com/office/drawing/2014/main" id="{D6301464-59D2-49BE-8946-58D8189E565E}"/>
            </a:ext>
            <a:ext uri="{147F2762-F138-4A5C-976F-8EAC2B608ADB}">
              <a16:predDERef xmlns:a16="http://schemas.microsoft.com/office/drawing/2014/main" pred="{65C511E3-9B02-457F-ACF2-CC589FA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13</xdr:row>
      <xdr:rowOff>0</xdr:rowOff>
    </xdr:from>
    <xdr:to>
      <xdr:col>4</xdr:col>
      <xdr:colOff>390525</xdr:colOff>
      <xdr:row>28</xdr:row>
      <xdr:rowOff>185614</xdr:rowOff>
    </xdr:to>
    <xdr:graphicFrame macro="">
      <xdr:nvGraphicFramePr>
        <xdr:cNvPr id="39" name="Chart 3">
          <a:extLst>
            <a:ext uri="{FF2B5EF4-FFF2-40B4-BE49-F238E27FC236}">
              <a16:creationId xmlns:a16="http://schemas.microsoft.com/office/drawing/2014/main" id="{F522DC93-CCFC-4900-94FF-B45D384E7E66}"/>
            </a:ext>
            <a:ext uri="{147F2762-F138-4A5C-976F-8EAC2B608ADB}">
              <a16:predDERef xmlns:a16="http://schemas.microsoft.com/office/drawing/2014/main" pred="{D6301464-59D2-49BE-8946-58D8189E5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926042</xdr:colOff>
      <xdr:row>13</xdr:row>
      <xdr:rowOff>3142</xdr:rowOff>
    </xdr:from>
    <xdr:to>
      <xdr:col>16</xdr:col>
      <xdr:colOff>0</xdr:colOff>
      <xdr:row>28</xdr:row>
      <xdr:rowOff>175172</xdr:rowOff>
    </xdr:to>
    <xdr:graphicFrame macro="">
      <xdr:nvGraphicFramePr>
        <xdr:cNvPr id="48" name="Chart 7">
          <a:extLst>
            <a:ext uri="{FF2B5EF4-FFF2-40B4-BE49-F238E27FC236}">
              <a16:creationId xmlns:a16="http://schemas.microsoft.com/office/drawing/2014/main" id="{20690F8D-CA18-4EA5-BB30-667518CE5653}"/>
            </a:ext>
            <a:ext uri="{147F2762-F138-4A5C-976F-8EAC2B608ADB}">
              <a16:predDERef xmlns:a16="http://schemas.microsoft.com/office/drawing/2014/main" pred="{D8492F36-4C53-495B-8F35-E5EA3B1C1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1357924</xdr:colOff>
      <xdr:row>28</xdr:row>
      <xdr:rowOff>40716</xdr:rowOff>
    </xdr:from>
    <xdr:to>
      <xdr:col>15</xdr:col>
      <xdr:colOff>1123463</xdr:colOff>
      <xdr:row>37</xdr:row>
      <xdr:rowOff>166077</xdr:rowOff>
    </xdr:to>
    <xdr:graphicFrame macro="">
      <xdr:nvGraphicFramePr>
        <xdr:cNvPr id="41" name="Content Placeholder 5">
          <a:extLst>
            <a:ext uri="{FF2B5EF4-FFF2-40B4-BE49-F238E27FC236}">
              <a16:creationId xmlns:a16="http://schemas.microsoft.com/office/drawing/2014/main" id="{42D748DC-D663-B1DB-424D-86EE1C855257}"/>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twoCellAnchor>
    <xdr:from>
      <xdr:col>10</xdr:col>
      <xdr:colOff>779927</xdr:colOff>
      <xdr:row>5</xdr:row>
      <xdr:rowOff>26195</xdr:rowOff>
    </xdr:from>
    <xdr:to>
      <xdr:col>10</xdr:col>
      <xdr:colOff>1008034</xdr:colOff>
      <xdr:row>7</xdr:row>
      <xdr:rowOff>80592</xdr:rowOff>
    </xdr:to>
    <xdr:sp macro="" textlink="">
      <xdr:nvSpPr>
        <xdr:cNvPr id="5" name="TextBox 4">
          <a:extLst>
            <a:ext uri="{FF2B5EF4-FFF2-40B4-BE49-F238E27FC236}">
              <a16:creationId xmlns:a16="http://schemas.microsoft.com/office/drawing/2014/main" id="{CE48E03A-7E6F-9146-576E-922156CA8BD6}"/>
            </a:ext>
          </a:extLst>
        </xdr:cNvPr>
        <xdr:cNvSpPr txBox="1"/>
      </xdr:nvSpPr>
      <xdr:spPr>
        <a:xfrm rot="16200000">
          <a:off x="8284318" y="1043688"/>
          <a:ext cx="422513"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3</xdr:col>
      <xdr:colOff>47385</xdr:colOff>
      <xdr:row>29</xdr:row>
      <xdr:rowOff>33802</xdr:rowOff>
    </xdr:from>
    <xdr:to>
      <xdr:col>10</xdr:col>
      <xdr:colOff>1436076</xdr:colOff>
      <xdr:row>36</xdr:row>
      <xdr:rowOff>48398</xdr:rowOff>
    </xdr:to>
    <xdr:sp macro="" textlink="">
      <xdr:nvSpPr>
        <xdr:cNvPr id="8" name="Title 1">
          <a:extLst>
            <a:ext uri="{FF2B5EF4-FFF2-40B4-BE49-F238E27FC236}">
              <a16:creationId xmlns:a16="http://schemas.microsoft.com/office/drawing/2014/main" id="{B41EA185-73AB-51B1-7B2C-9A164923930A}"/>
            </a:ext>
          </a:extLst>
        </xdr:cNvPr>
        <xdr:cNvSpPr>
          <a:spLocks noGrp="1"/>
        </xdr:cNvSpPr>
      </xdr:nvSpPr>
      <xdr:spPr>
        <a:xfrm>
          <a:off x="2900000" y="5416648"/>
          <a:ext cx="6146307" cy="1313904"/>
        </a:xfrm>
        <a:prstGeom prst="rect">
          <a:avLst/>
        </a:prstGeom>
      </xdr:spPr>
      <xdr:txBody>
        <a:bodyPr vert="horz" wrap="square" lIns="91440" tIns="45720" rIns="91440" bIns="45720" rtlCol="0" anchor="t">
          <a:noAutofit/>
        </a:bodyPr>
        <a:lstStyle>
          <a:lvl1pPr algn="l" defTabSz="914400" rtl="0" eaLnBrk="1" latinLnBrk="0" hangingPunct="1">
            <a:lnSpc>
              <a:spcPct val="100000"/>
            </a:lnSpc>
            <a:spcBef>
              <a:spcPct val="0"/>
            </a:spcBef>
            <a:buNone/>
            <a:defRPr sz="4400" b="1" kern="1200">
              <a:solidFill>
                <a:schemeClr val="tx1"/>
              </a:solidFill>
              <a:latin typeface="+mj-lt"/>
              <a:ea typeface="+mj-ea"/>
              <a:cs typeface="+mj-cs"/>
            </a:defRPr>
          </a:lvl1pPr>
        </a:lstStyle>
        <a:p>
          <a:r>
            <a:rPr lang="en-US" sz="8000" b="1" i="0" u="none">
              <a:ln>
                <a:solidFill>
                  <a:schemeClr val="tx1"/>
                </a:solidFill>
              </a:ln>
              <a:solidFill>
                <a:schemeClr val="accent1"/>
              </a:solidFill>
              <a:latin typeface="Comic Sans MS" panose="030F0702030302020204" pitchFamily="66" charset="0"/>
            </a:rPr>
            <a:t>Profitability</a:t>
          </a:r>
        </a:p>
      </xdr:txBody>
    </xdr:sp>
    <xdr:clientData/>
  </xdr:twoCellAnchor>
  <xdr:twoCellAnchor>
    <xdr:from>
      <xdr:col>12</xdr:col>
      <xdr:colOff>322465</xdr:colOff>
      <xdr:row>3</xdr:row>
      <xdr:rowOff>111058</xdr:rowOff>
    </xdr:from>
    <xdr:to>
      <xdr:col>12</xdr:col>
      <xdr:colOff>550572</xdr:colOff>
      <xdr:row>5</xdr:row>
      <xdr:rowOff>165454</xdr:rowOff>
    </xdr:to>
    <xdr:sp macro="" textlink="">
      <xdr:nvSpPr>
        <xdr:cNvPr id="9" name="TextBox 8">
          <a:extLst>
            <a:ext uri="{FF2B5EF4-FFF2-40B4-BE49-F238E27FC236}">
              <a16:creationId xmlns:a16="http://schemas.microsoft.com/office/drawing/2014/main" id="{0985AAED-77E9-43D6-BDA0-B266A4BC5337}"/>
            </a:ext>
          </a:extLst>
        </xdr:cNvPr>
        <xdr:cNvSpPr txBox="1"/>
      </xdr:nvSpPr>
      <xdr:spPr>
        <a:xfrm rot="16200000">
          <a:off x="11809082" y="749917"/>
          <a:ext cx="417253"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0</xdr:col>
      <xdr:colOff>1184188</xdr:colOff>
      <xdr:row>19</xdr:row>
      <xdr:rowOff>85812</xdr:rowOff>
    </xdr:from>
    <xdr:to>
      <xdr:col>0</xdr:col>
      <xdr:colOff>1412295</xdr:colOff>
      <xdr:row>21</xdr:row>
      <xdr:rowOff>140208</xdr:rowOff>
    </xdr:to>
    <xdr:sp macro="" textlink="">
      <xdr:nvSpPr>
        <xdr:cNvPr id="13" name="TextBox 12">
          <a:extLst>
            <a:ext uri="{FF2B5EF4-FFF2-40B4-BE49-F238E27FC236}">
              <a16:creationId xmlns:a16="http://schemas.microsoft.com/office/drawing/2014/main" id="{9B5750A1-8D2C-4E2B-A872-EA96BC48BA86}"/>
            </a:ext>
          </a:extLst>
        </xdr:cNvPr>
        <xdr:cNvSpPr txBox="1"/>
      </xdr:nvSpPr>
      <xdr:spPr>
        <a:xfrm rot="16200000">
          <a:off x="1090841" y="3603010"/>
          <a:ext cx="414802"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editAs="oneCell">
    <xdr:from>
      <xdr:col>11</xdr:col>
      <xdr:colOff>787737</xdr:colOff>
      <xdr:row>27</xdr:row>
      <xdr:rowOff>138825</xdr:rowOff>
    </xdr:from>
    <xdr:to>
      <xdr:col>11</xdr:col>
      <xdr:colOff>869007</xdr:colOff>
      <xdr:row>28</xdr:row>
      <xdr:rowOff>34372</xdr:rowOff>
    </xdr:to>
    <xdr:pic>
      <xdr:nvPicPr>
        <xdr:cNvPr id="16" name="Picture 13">
          <a:extLst>
            <a:ext uri="{FF2B5EF4-FFF2-40B4-BE49-F238E27FC236}">
              <a16:creationId xmlns:a16="http://schemas.microsoft.com/office/drawing/2014/main" id="{C9851F16-FB5A-E31A-4B00-7E574B1AD118}"/>
            </a:ext>
          </a:extLst>
        </xdr:cNvPr>
        <xdr:cNvPicPr>
          <a:picLocks noChangeAspect="1"/>
        </xdr:cNvPicPr>
      </xdr:nvPicPr>
      <xdr:blipFill>
        <a:blip xmlns:r="http://schemas.openxmlformats.org/officeDocument/2006/relationships" r:embed="rId20"/>
        <a:stretch>
          <a:fillRect/>
        </a:stretch>
      </xdr:blipFill>
      <xdr:spPr>
        <a:xfrm>
          <a:off x="11099417" y="5136558"/>
          <a:ext cx="81270" cy="79697"/>
        </a:xfrm>
        <a:prstGeom prst="rect">
          <a:avLst/>
        </a:prstGeom>
      </xdr:spPr>
    </xdr:pic>
    <xdr:clientData/>
  </xdr:twoCellAnchor>
  <xdr:twoCellAnchor>
    <xdr:from>
      <xdr:col>14</xdr:col>
      <xdr:colOff>219507</xdr:colOff>
      <xdr:row>16</xdr:row>
      <xdr:rowOff>117593</xdr:rowOff>
    </xdr:from>
    <xdr:to>
      <xdr:col>15</xdr:col>
      <xdr:colOff>188148</xdr:colOff>
      <xdr:row>17</xdr:row>
      <xdr:rowOff>156790</xdr:rowOff>
    </xdr:to>
    <xdr:sp macro="" textlink="">
      <xdr:nvSpPr>
        <xdr:cNvPr id="62" name="TextBox 16">
          <a:extLst>
            <a:ext uri="{FF2B5EF4-FFF2-40B4-BE49-F238E27FC236}">
              <a16:creationId xmlns:a16="http://schemas.microsoft.com/office/drawing/2014/main" id="{3DAA8FE7-7455-EF08-1704-62240260F8CD}"/>
            </a:ext>
          </a:extLst>
        </xdr:cNvPr>
        <xdr:cNvSpPr txBox="1"/>
      </xdr:nvSpPr>
      <xdr:spPr>
        <a:xfrm>
          <a:off x="13374198" y="3002531"/>
          <a:ext cx="407654" cy="219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900" b="1"/>
            <a:t>1.55</a:t>
          </a:r>
        </a:p>
      </xdr:txBody>
    </xdr:sp>
    <xdr:clientData/>
  </xdr:twoCellAnchor>
  <xdr:twoCellAnchor>
    <xdr:from>
      <xdr:col>15</xdr:col>
      <xdr:colOff>109753</xdr:colOff>
      <xdr:row>23</xdr:row>
      <xdr:rowOff>78395</xdr:rowOff>
    </xdr:from>
    <xdr:to>
      <xdr:col>15</xdr:col>
      <xdr:colOff>517407</xdr:colOff>
      <xdr:row>24</xdr:row>
      <xdr:rowOff>117593</xdr:rowOff>
    </xdr:to>
    <xdr:sp macro="" textlink="">
      <xdr:nvSpPr>
        <xdr:cNvPr id="75" name="TextBox 18">
          <a:extLst>
            <a:ext uri="{FF2B5EF4-FFF2-40B4-BE49-F238E27FC236}">
              <a16:creationId xmlns:a16="http://schemas.microsoft.com/office/drawing/2014/main" id="{46FB50C4-17F6-4939-9D8F-02F41228BFEC}"/>
            </a:ext>
          </a:extLst>
        </xdr:cNvPr>
        <xdr:cNvSpPr txBox="1"/>
      </xdr:nvSpPr>
      <xdr:spPr>
        <a:xfrm>
          <a:off x="13703457" y="4225494"/>
          <a:ext cx="407654" cy="219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900" b="1"/>
            <a:t>1.79</a:t>
          </a:r>
        </a:p>
      </xdr:txBody>
    </xdr:sp>
    <xdr:clientData/>
  </xdr:twoCellAnchor>
  <xdr:twoCellAnchor>
    <xdr:from>
      <xdr:col>15</xdr:col>
      <xdr:colOff>340548</xdr:colOff>
      <xdr:row>20</xdr:row>
      <xdr:rowOff>19128</xdr:rowOff>
    </xdr:from>
    <xdr:to>
      <xdr:col>15</xdr:col>
      <xdr:colOff>748202</xdr:colOff>
      <xdr:row>21</xdr:row>
      <xdr:rowOff>58326</xdr:rowOff>
    </xdr:to>
    <xdr:sp macro="" textlink="">
      <xdr:nvSpPr>
        <xdr:cNvPr id="70" name="TextBox 20">
          <a:extLst>
            <a:ext uri="{FF2B5EF4-FFF2-40B4-BE49-F238E27FC236}">
              <a16:creationId xmlns:a16="http://schemas.microsoft.com/office/drawing/2014/main" id="{414906E1-8392-4132-855D-2405DFF312AB}"/>
            </a:ext>
          </a:extLst>
        </xdr:cNvPr>
        <xdr:cNvSpPr txBox="1"/>
      </xdr:nvSpPr>
      <xdr:spPr>
        <a:xfrm>
          <a:off x="13934252" y="3625301"/>
          <a:ext cx="407654" cy="219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900" b="1"/>
            <a:t>1.79</a:t>
          </a:r>
        </a:p>
      </xdr:txBody>
    </xdr:sp>
    <xdr:clientData/>
  </xdr:twoCellAnchor>
  <xdr:twoCellAnchor>
    <xdr:from>
      <xdr:col>13</xdr:col>
      <xdr:colOff>499408</xdr:colOff>
      <xdr:row>5</xdr:row>
      <xdr:rowOff>55507</xdr:rowOff>
    </xdr:from>
    <xdr:to>
      <xdr:col>14</xdr:col>
      <xdr:colOff>230879</xdr:colOff>
      <xdr:row>11</xdr:row>
      <xdr:rowOff>16736</xdr:rowOff>
    </xdr:to>
    <xdr:sp macro="" textlink="">
      <xdr:nvSpPr>
        <xdr:cNvPr id="4" name="TextBox 1">
          <a:extLst>
            <a:ext uri="{FF2B5EF4-FFF2-40B4-BE49-F238E27FC236}">
              <a16:creationId xmlns:a16="http://schemas.microsoft.com/office/drawing/2014/main" id="{F82962FB-DFEB-491C-A791-2E5AC2DD490E}"/>
            </a:ext>
          </a:extLst>
        </xdr:cNvPr>
        <xdr:cNvSpPr txBox="1"/>
      </xdr:nvSpPr>
      <xdr:spPr>
        <a:xfrm rot="18014006">
          <a:off x="12714113" y="1342112"/>
          <a:ext cx="1049800" cy="29087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AU" sz="700" b="1" kern="1200">
              <a:solidFill>
                <a:sysClr val="windowText" lastClr="000000"/>
              </a:solidFill>
            </a:rPr>
            <a:t>Benchmark</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0.7823</cdr:x>
      <cdr:y>0.79369</cdr:y>
    </cdr:from>
    <cdr:to>
      <cdr:x>1</cdr:x>
      <cdr:y>0.9217</cdr:y>
    </cdr:to>
    <cdr:sp macro="" textlink="">
      <cdr:nvSpPr>
        <cdr:cNvPr id="3" name="TextBox 2">
          <a:extLst xmlns:a="http://schemas.openxmlformats.org/drawingml/2006/main">
            <a:ext uri="{FF2B5EF4-FFF2-40B4-BE49-F238E27FC236}">
              <a16:creationId xmlns:a16="http://schemas.microsoft.com/office/drawing/2014/main" id="{0A629F7C-3963-2469-FC06-59BCE33B55C2}"/>
            </a:ext>
          </a:extLst>
        </cdr:cNvPr>
        <cdr:cNvSpPr txBox="1"/>
      </cdr:nvSpPr>
      <cdr:spPr>
        <a:xfrm xmlns:a="http://schemas.openxmlformats.org/drawingml/2006/main">
          <a:off x="3404305" y="1936600"/>
          <a:ext cx="947343" cy="3123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900" kern="1200">
              <a:solidFill>
                <a:schemeClr val="bg1"/>
              </a:solidFill>
            </a:rPr>
            <a:t>Benchmark</a:t>
          </a:r>
        </a:p>
      </cdr:txBody>
    </cdr:sp>
  </cdr:relSizeAnchor>
</c:userShapes>
</file>

<file path=xl/drawings/drawing3.xml><?xml version="1.0" encoding="utf-8"?>
<c:userShapes xmlns:c="http://schemas.openxmlformats.org/drawingml/2006/chart">
  <cdr:relSizeAnchor xmlns:cdr="http://schemas.openxmlformats.org/drawingml/2006/chartDrawing">
    <cdr:from>
      <cdr:x>0.01674</cdr:x>
      <cdr:y>0.21505</cdr:y>
    </cdr:from>
    <cdr:to>
      <cdr:x>0.25205</cdr:x>
      <cdr:y>0.33599</cdr:y>
    </cdr:to>
    <cdr:sp macro="" textlink="">
      <cdr:nvSpPr>
        <cdr:cNvPr id="2" name="TextBox 1">
          <a:extLst xmlns:a="http://schemas.openxmlformats.org/drawingml/2006/main">
            <a:ext uri="{FF2B5EF4-FFF2-40B4-BE49-F238E27FC236}">
              <a16:creationId xmlns:a16="http://schemas.microsoft.com/office/drawing/2014/main" id="{28E183D5-6268-90F2-04D9-0BE4BC534433}"/>
            </a:ext>
          </a:extLst>
        </cdr:cNvPr>
        <cdr:cNvSpPr txBox="1"/>
      </cdr:nvSpPr>
      <cdr:spPr>
        <a:xfrm xmlns:a="http://schemas.openxmlformats.org/drawingml/2006/main">
          <a:off x="51112" y="527037"/>
          <a:ext cx="718484" cy="2963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AU" sz="900" kern="1200">
              <a:solidFill>
                <a:schemeClr val="bg1"/>
              </a:solidFill>
            </a:rPr>
            <a:t>Benchmark</a:t>
          </a:r>
        </a:p>
      </cdr:txBody>
    </cdr:sp>
  </cdr:relSizeAnchor>
</c:userShapes>
</file>

<file path=xl/drawings/drawing4.xml><?xml version="1.0" encoding="utf-8"?>
<c:userShapes xmlns:c="http://schemas.openxmlformats.org/drawingml/2006/chart">
  <cdr:relSizeAnchor xmlns:cdr="http://schemas.openxmlformats.org/drawingml/2006/chartDrawing">
    <cdr:from>
      <cdr:x>0.27994</cdr:x>
      <cdr:y>0.31607</cdr:y>
    </cdr:from>
    <cdr:to>
      <cdr:x>0.33985</cdr:x>
      <cdr:y>0.7074</cdr:y>
    </cdr:to>
    <cdr:sp macro="" textlink="">
      <cdr:nvSpPr>
        <cdr:cNvPr id="2" name="TextBox 1">
          <a:extLst xmlns:a="http://schemas.openxmlformats.org/drawingml/2006/main">
            <a:ext uri="{FF2B5EF4-FFF2-40B4-BE49-F238E27FC236}">
              <a16:creationId xmlns:a16="http://schemas.microsoft.com/office/drawing/2014/main" id="{90B46FF1-69F4-E573-5B1B-7749152356AA}"/>
            </a:ext>
          </a:extLst>
        </cdr:cNvPr>
        <cdr:cNvSpPr txBox="1"/>
      </cdr:nvSpPr>
      <cdr:spPr>
        <a:xfrm xmlns:a="http://schemas.openxmlformats.org/drawingml/2006/main">
          <a:off x="1003501" y="784412"/>
          <a:ext cx="214779" cy="971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7471</xdr:colOff>
      <xdr:row>0</xdr:row>
      <xdr:rowOff>0</xdr:rowOff>
    </xdr:from>
    <xdr:to>
      <xdr:col>15</xdr:col>
      <xdr:colOff>600808</xdr:colOff>
      <xdr:row>2</xdr:row>
      <xdr:rowOff>14941</xdr:rowOff>
    </xdr:to>
    <xdr:sp macro="" textlink="">
      <xdr:nvSpPr>
        <xdr:cNvPr id="8" name="TextBox 7">
          <a:extLst>
            <a:ext uri="{FF2B5EF4-FFF2-40B4-BE49-F238E27FC236}">
              <a16:creationId xmlns:a16="http://schemas.microsoft.com/office/drawing/2014/main" id="{2D0EA84A-9A32-C3E4-E054-E94626A3CD4D}"/>
            </a:ext>
          </a:extLst>
        </xdr:cNvPr>
        <xdr:cNvSpPr txBox="1"/>
      </xdr:nvSpPr>
      <xdr:spPr>
        <a:xfrm>
          <a:off x="7471" y="0"/>
          <a:ext cx="10968260" cy="38617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u="sng" cap="none" spc="0">
              <a:ln w="0"/>
              <a:solidFill>
                <a:schemeClr val="accent1"/>
              </a:solidFill>
              <a:effectLst>
                <a:outerShdw blurRad="38100" dist="25400" dir="5400000" algn="ctr" rotWithShape="0">
                  <a:srgbClr val="6E747A">
                    <a:alpha val="43000"/>
                  </a:srgbClr>
                </a:outerShdw>
              </a:effectLst>
            </a:rPr>
            <a:t>Trends</a:t>
          </a:r>
          <a:r>
            <a:rPr lang="en-AU" sz="1400" b="1" u="sng" cap="none" spc="0" baseline="0">
              <a:ln w="0"/>
              <a:solidFill>
                <a:schemeClr val="accent1"/>
              </a:solidFill>
              <a:effectLst>
                <a:outerShdw blurRad="38100" dist="25400" dir="5400000" algn="ctr" rotWithShape="0">
                  <a:srgbClr val="6E747A">
                    <a:alpha val="43000"/>
                  </a:srgbClr>
                </a:outerShdw>
              </a:effectLst>
            </a:rPr>
            <a:t> in Liquidity </a:t>
          </a:r>
          <a:r>
            <a:rPr lang="en-AU" sz="1400" b="0" cap="none" spc="0" baseline="0">
              <a:ln w="0"/>
              <a:solidFill>
                <a:schemeClr val="accent1"/>
              </a:solidFill>
              <a:effectLst>
                <a:outerShdw blurRad="38100" dist="25400" dir="5400000" algn="ctr" rotWithShape="0">
                  <a:srgbClr val="6E747A">
                    <a:alpha val="43000"/>
                  </a:srgbClr>
                </a:outerShdw>
              </a:effectLst>
            </a:rPr>
            <a:t>(MYR) </a:t>
          </a:r>
          <a:r>
            <a:rPr lang="en-AU" sz="1400" b="0" i="1" cap="none" spc="0" baseline="0">
              <a:ln w="0"/>
              <a:solidFill>
                <a:schemeClr val="accent1"/>
              </a:solidFill>
              <a:effectLst>
                <a:outerShdw blurRad="38100" dist="25400" dir="5400000" algn="ctr" rotWithShape="0">
                  <a:srgbClr val="6E747A">
                    <a:alpha val="43000"/>
                  </a:srgbClr>
                </a:outerShdw>
              </a:effectLst>
            </a:rPr>
            <a:t>2022 - 2024 </a:t>
          </a:r>
          <a:r>
            <a:rPr lang="en-AU" sz="1400" b="0" cap="none" spc="0" baseline="0">
              <a:ln w="0"/>
              <a:solidFill>
                <a:schemeClr val="accent1"/>
              </a:solidFill>
              <a:effectLst>
                <a:outerShdw blurRad="38100" dist="25400" dir="5400000" algn="ctr" rotWithShape="0">
                  <a:srgbClr val="6E747A">
                    <a:alpha val="43000"/>
                  </a:srgbClr>
                </a:outerShdw>
              </a:effectLst>
            </a:rPr>
            <a:t>- </a:t>
          </a:r>
          <a:r>
            <a:rPr lang="en-AU" sz="1400" b="1" cap="none" spc="0" baseline="0">
              <a:ln w="0"/>
              <a:solidFill>
                <a:schemeClr val="accent1"/>
              </a:solidFill>
              <a:effectLst>
                <a:outerShdw blurRad="38100" dist="25400" dir="5400000" algn="ctr" rotWithShape="0">
                  <a:srgbClr val="6E747A">
                    <a:alpha val="43000"/>
                  </a:srgbClr>
                </a:outerShdw>
              </a:effectLst>
            </a:rPr>
            <a:t>Overview</a:t>
          </a:r>
          <a:r>
            <a:rPr lang="en-AU" sz="1400" b="0" cap="none" spc="0" baseline="0">
              <a:ln w="0"/>
              <a:solidFill>
                <a:schemeClr val="accent1"/>
              </a:solidFill>
              <a:effectLst>
                <a:outerShdw blurRad="38100" dist="25400" dir="5400000" algn="ctr" rotWithShape="0">
                  <a:srgbClr val="6E747A">
                    <a:alpha val="43000"/>
                  </a:srgbClr>
                </a:outerShdw>
              </a:effectLst>
            </a:rPr>
            <a:t>: </a:t>
          </a:r>
          <a:r>
            <a:rPr lang="en-AU" sz="1400" b="0" u="sng" cap="none" spc="0" baseline="0">
              <a:ln w="0"/>
              <a:solidFill>
                <a:schemeClr val="accent1"/>
              </a:solidFill>
              <a:effectLst>
                <a:outerShdw blurRad="38100" dist="25400" dir="5400000" algn="ctr" rotWithShape="0">
                  <a:srgbClr val="6E747A">
                    <a:alpha val="43000"/>
                  </a:srgbClr>
                </a:outerShdw>
              </a:effectLst>
            </a:rPr>
            <a:t>Downward trending</a:t>
          </a:r>
          <a:r>
            <a:rPr lang="en-AU" sz="1400" b="0" u="none" cap="none" spc="0" baseline="0">
              <a:ln w="0"/>
              <a:solidFill>
                <a:schemeClr val="accent1"/>
              </a:solidFill>
              <a:effectLst>
                <a:outerShdw blurRad="38100" dist="25400" dir="5400000" algn="ctr" rotWithShape="0">
                  <a:srgbClr val="6E747A">
                    <a:alpha val="43000"/>
                  </a:srgbClr>
                </a:outerShdw>
              </a:effectLst>
            </a:rPr>
            <a:t> across most metrics▼ | Relatively </a:t>
          </a:r>
          <a:r>
            <a:rPr lang="en-AU" sz="1400" b="0" u="sng" cap="none" spc="0" baseline="0">
              <a:ln w="0"/>
              <a:solidFill>
                <a:schemeClr val="accent1"/>
              </a:solidFill>
              <a:effectLst>
                <a:outerShdw blurRad="38100" dist="25400" dir="5400000" algn="ctr" rotWithShape="0">
                  <a:srgbClr val="6E747A">
                    <a:alpha val="43000"/>
                  </a:srgbClr>
                </a:outerShdw>
              </a:effectLst>
            </a:rPr>
            <a:t>unchanged </a:t>
          </a:r>
          <a:r>
            <a:rPr lang="en-AU" sz="1400" b="0" u="none" cap="none" spc="0" baseline="0">
              <a:ln w="0"/>
              <a:solidFill>
                <a:schemeClr val="accent1"/>
              </a:solidFill>
              <a:effectLst>
                <a:outerShdw blurRad="38100" dist="25400" dir="5400000" algn="ctr" rotWithShape="0">
                  <a:srgbClr val="6E747A">
                    <a:alpha val="43000"/>
                  </a:srgbClr>
                </a:outerShdw>
              </a:effectLst>
            </a:rPr>
            <a:t>inventory metrics</a:t>
          </a:r>
          <a:endParaRPr lang="en-AU" sz="1100" b="0" baseline="0">
            <a:solidFill>
              <a:schemeClr val="dk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editAs="oneCell">
    <xdr:from>
      <xdr:col>16</xdr:col>
      <xdr:colOff>0</xdr:colOff>
      <xdr:row>44</xdr:row>
      <xdr:rowOff>129920</xdr:rowOff>
    </xdr:from>
    <xdr:to>
      <xdr:col>16</xdr:col>
      <xdr:colOff>360</xdr:colOff>
      <xdr:row>44</xdr:row>
      <xdr:rowOff>130280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8" name="Ink 17">
              <a:extLst>
                <a:ext uri="{FF2B5EF4-FFF2-40B4-BE49-F238E27FC236}">
                  <a16:creationId xmlns:a16="http://schemas.microsoft.com/office/drawing/2014/main" id="{8D0A7698-6C1E-DFC8-7F58-1F0A2C260504}"/>
                </a:ext>
              </a:extLst>
            </xdr14:cNvPr>
            <xdr14:cNvContentPartPr/>
          </xdr14:nvContentPartPr>
          <xdr14:nvPr macro=""/>
          <xdr14:xfrm>
            <a:off x="18139680" y="8269920"/>
            <a:ext cx="360" cy="360"/>
          </xdr14:xfrm>
        </xdr:contentPart>
      </mc:Choice>
      <mc:Fallback xmlns="">
        <xdr:pic>
          <xdr:nvPicPr>
            <xdr:cNvPr id="18" name="Ink 17">
              <a:extLst>
                <a:ext uri="{FF2B5EF4-FFF2-40B4-BE49-F238E27FC236}">
                  <a16:creationId xmlns:a16="http://schemas.microsoft.com/office/drawing/2014/main" id="{8D0A7698-6C1E-DFC8-7F58-1F0A2C260504}"/>
                </a:ext>
              </a:extLst>
            </xdr:cNvPr>
            <xdr:cNvPicPr/>
          </xdr:nvPicPr>
          <xdr:blipFill>
            <a:blip xmlns:r="http://schemas.openxmlformats.org/officeDocument/2006/relationships" r:embed="rId7"/>
            <a:stretch>
              <a:fillRect/>
            </a:stretch>
          </xdr:blipFill>
          <xdr:spPr>
            <a:xfrm>
              <a:off x="18133560" y="8263800"/>
              <a:ext cx="12600" cy="12600"/>
            </a:xfrm>
            <a:prstGeom prst="rect">
              <a:avLst/>
            </a:prstGeom>
          </xdr:spPr>
        </xdr:pic>
      </mc:Fallback>
    </mc:AlternateContent>
    <xdr:clientData/>
  </xdr:twoCellAnchor>
  <xdr:twoCellAnchor editAs="oneCell">
    <xdr:from>
      <xdr:col>0</xdr:col>
      <xdr:colOff>1193520</xdr:colOff>
      <xdr:row>9</xdr:row>
      <xdr:rowOff>96480</xdr:rowOff>
    </xdr:from>
    <xdr:to>
      <xdr:col>0</xdr:col>
      <xdr:colOff>1193880</xdr:colOff>
      <xdr:row>9</xdr:row>
      <xdr:rowOff>96840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9" name="Ink 38">
              <a:extLst>
                <a:ext uri="{FF2B5EF4-FFF2-40B4-BE49-F238E27FC236}">
                  <a16:creationId xmlns:a16="http://schemas.microsoft.com/office/drawing/2014/main" id="{BECDEA96-F801-81A9-77CC-D9523275E341}"/>
                </a:ext>
              </a:extLst>
            </xdr14:cNvPr>
            <xdr14:cNvContentPartPr/>
          </xdr14:nvContentPartPr>
          <xdr14:nvPr macro=""/>
          <xdr14:xfrm>
            <a:off x="1193520" y="1742400"/>
            <a:ext cx="360" cy="360"/>
          </xdr14:xfrm>
        </xdr:contentPart>
      </mc:Choice>
      <mc:Fallback xmlns="">
        <xdr:pic>
          <xdr:nvPicPr>
            <xdr:cNvPr id="39" name="Ink 38">
              <a:extLst>
                <a:ext uri="{FF2B5EF4-FFF2-40B4-BE49-F238E27FC236}">
                  <a16:creationId xmlns:a16="http://schemas.microsoft.com/office/drawing/2014/main" id="{BECDEA96-F801-81A9-77CC-D9523275E341}"/>
                </a:ext>
              </a:extLst>
            </xdr:cNvPr>
            <xdr:cNvPicPr/>
          </xdr:nvPicPr>
          <xdr:blipFill>
            <a:blip xmlns:r="http://schemas.openxmlformats.org/officeDocument/2006/relationships" r:embed="rId16"/>
            <a:stretch>
              <a:fillRect/>
            </a:stretch>
          </xdr:blipFill>
          <xdr:spPr>
            <a:xfrm>
              <a:off x="1184880" y="1733400"/>
              <a:ext cx="18000" cy="18000"/>
            </a:xfrm>
            <a:prstGeom prst="rect">
              <a:avLst/>
            </a:prstGeom>
          </xdr:spPr>
        </xdr:pic>
      </mc:Fallback>
    </mc:AlternateContent>
    <xdr:clientData/>
  </xdr:twoCellAnchor>
  <xdr:oneCellAnchor>
    <xdr:from>
      <xdr:col>16</xdr:col>
      <xdr:colOff>1049680</xdr:colOff>
      <xdr:row>17</xdr:row>
      <xdr:rowOff>129920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 name="Ink 2">
              <a:extLst>
                <a:ext uri="{FF2B5EF4-FFF2-40B4-BE49-F238E27FC236}">
                  <a16:creationId xmlns:a16="http://schemas.microsoft.com/office/drawing/2014/main" id="{69DD5E1A-6912-4095-A044-71C27927796E}"/>
                </a:ext>
              </a:extLst>
            </xdr14:cNvPr>
            <xdr14:cNvContentPartPr/>
          </xdr14:nvContentPartPr>
          <xdr14:nvPr macro=""/>
          <xdr14:xfrm>
            <a:off x="18139680" y="8269920"/>
            <a:ext cx="360" cy="360"/>
          </xdr14:xfrm>
        </xdr:contentPart>
      </mc:Choice>
      <mc:Fallback xmlns="">
        <xdr:pic>
          <xdr:nvPicPr>
            <xdr:cNvPr id="18" name="Ink 17">
              <a:extLst>
                <a:ext uri="{FF2B5EF4-FFF2-40B4-BE49-F238E27FC236}">
                  <a16:creationId xmlns:a16="http://schemas.microsoft.com/office/drawing/2014/main" id="{8D0A7698-6C1E-DFC8-7F58-1F0A2C260504}"/>
                </a:ext>
              </a:extLst>
            </xdr:cNvPr>
            <xdr:cNvPicPr/>
          </xdr:nvPicPr>
          <xdr:blipFill>
            <a:blip xmlns:r="http://schemas.openxmlformats.org/officeDocument/2006/relationships" r:embed="rId7"/>
            <a:stretch>
              <a:fillRect/>
            </a:stretch>
          </xdr:blipFill>
          <xdr:spPr>
            <a:xfrm>
              <a:off x="18133560" y="8263800"/>
              <a:ext cx="12600" cy="12600"/>
            </a:xfrm>
            <a:prstGeom prst="rect">
              <a:avLst/>
            </a:prstGeom>
          </xdr:spPr>
        </xdr:pic>
      </mc:Fallback>
    </mc:AlternateContent>
    <xdr:clientData/>
  </xdr:oneCellAnchor>
  <xdr:twoCellAnchor editAs="oneCell">
    <xdr:from>
      <xdr:col>15</xdr:col>
      <xdr:colOff>603251</xdr:colOff>
      <xdr:row>0</xdr:row>
      <xdr:rowOff>0</xdr:rowOff>
    </xdr:from>
    <xdr:to>
      <xdr:col>18</xdr:col>
      <xdr:colOff>10118</xdr:colOff>
      <xdr:row>6</xdr:row>
      <xdr:rowOff>158750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5FE4D33-51DC-0CE0-90A6-8D57841EC7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987824" y="0"/>
              <a:ext cx="2796323" cy="12738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6350</xdr:colOff>
      <xdr:row>14</xdr:row>
      <xdr:rowOff>171450</xdr:rowOff>
    </xdr:from>
    <xdr:ext cx="5556250" cy="590550"/>
    <xdr:sp macro="" textlink="">
      <xdr:nvSpPr>
        <xdr:cNvPr id="15" name="TextBox 14">
          <a:extLst>
            <a:ext uri="{FF2B5EF4-FFF2-40B4-BE49-F238E27FC236}">
              <a16:creationId xmlns:a16="http://schemas.microsoft.com/office/drawing/2014/main" id="{1F9E43A2-D071-1AA6-6489-4CEF2C40A071}"/>
            </a:ext>
          </a:extLst>
        </xdr:cNvPr>
        <xdr:cNvSpPr txBox="1"/>
      </xdr:nvSpPr>
      <xdr:spPr>
        <a:xfrm>
          <a:off x="6350" y="2770065"/>
          <a:ext cx="5556250" cy="590550"/>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400"/>
            <a:t>  💰 </a:t>
          </a:r>
          <a:r>
            <a:rPr lang="en-AU" sz="1400" b="1" u="sng">
              <a:solidFill>
                <a:schemeClr val="accent1"/>
              </a:solidFill>
            </a:rPr>
            <a:t>Cash</a:t>
          </a:r>
          <a:r>
            <a:rPr lang="en-AU" sz="1400" b="1" u="sng" baseline="0">
              <a:solidFill>
                <a:schemeClr val="accent1"/>
              </a:solidFill>
            </a:rPr>
            <a:t> and Cash Equivalents (MYR) </a:t>
          </a:r>
          <a:r>
            <a:rPr lang="en-AU" sz="1600" b="1" u="none" baseline="0">
              <a:solidFill>
                <a:schemeClr val="accent1"/>
              </a:solidFill>
            </a:rPr>
            <a:t>💰	</a:t>
          </a:r>
          <a:endParaRPr lang="en-AU" sz="1600" u="none" baseline="0">
            <a:solidFill>
              <a:schemeClr val="accent1"/>
            </a:solidFill>
          </a:endParaRPr>
        </a:p>
        <a:p>
          <a:r>
            <a:rPr lang="en-AU" sz="1200">
              <a:solidFill>
                <a:schemeClr val="accent1"/>
              </a:solidFill>
            </a:rPr>
            <a:t>      2022: $</a:t>
          </a:r>
          <a:r>
            <a:rPr lang="en-AU" sz="1200" b="1">
              <a:solidFill>
                <a:schemeClr val="accent1"/>
              </a:solidFill>
            </a:rPr>
            <a:t>243.9m</a:t>
          </a:r>
          <a:r>
            <a:rPr lang="en-AU" sz="1200">
              <a:solidFill>
                <a:schemeClr val="accent1"/>
              </a:solidFill>
            </a:rPr>
            <a:t> |</a:t>
          </a:r>
          <a:r>
            <a:rPr lang="en-AU" sz="1200" baseline="0">
              <a:solidFill>
                <a:schemeClr val="accent1"/>
              </a:solidFill>
            </a:rPr>
            <a:t> </a:t>
          </a:r>
          <a:r>
            <a:rPr lang="en-AU" sz="1200">
              <a:solidFill>
                <a:schemeClr val="accent1"/>
              </a:solidFill>
            </a:rPr>
            <a:t>2023: $</a:t>
          </a:r>
          <a:r>
            <a:rPr lang="en-AU" sz="1200" b="1">
              <a:solidFill>
                <a:schemeClr val="accent1"/>
              </a:solidFill>
            </a:rPr>
            <a:t>179.7m</a:t>
          </a:r>
          <a:r>
            <a:rPr lang="en-AU" sz="1200">
              <a:solidFill>
                <a:schemeClr val="accent1"/>
              </a:solidFill>
            </a:rPr>
            <a:t> | 2024: $</a:t>
          </a:r>
          <a:r>
            <a:rPr lang="en-AU" sz="1200" b="1">
              <a:solidFill>
                <a:schemeClr val="accent1"/>
              </a:solidFill>
            </a:rPr>
            <a:t>176.0m</a:t>
          </a:r>
          <a:r>
            <a:rPr lang="en-AU" sz="1200" b="0" baseline="0">
              <a:solidFill>
                <a:schemeClr val="accent1"/>
              </a:solidFill>
              <a:effectLst>
                <a:outerShdw blurRad="38100" dist="25400" dir="5400000" algn="ctr" rotWithShape="0">
                  <a:srgbClr val="6E747A">
                    <a:alpha val="43000"/>
                  </a:srgbClr>
                </a:outerShdw>
              </a:effectLst>
              <a:latin typeface="+mn-lt"/>
              <a:ea typeface="+mn-ea"/>
              <a:cs typeface="+mn-cs"/>
            </a:rPr>
            <a:t>▼</a:t>
          </a:r>
          <a:r>
            <a:rPr lang="en-AU" sz="1100" b="0" baseline="0">
              <a:solidFill>
                <a:schemeClr val="accent1"/>
              </a:solidFill>
              <a:effectLst>
                <a:outerShdw blurRad="38100" dist="25400" dir="5400000" algn="ctr" rotWithShape="0">
                  <a:srgbClr val="6E747A">
                    <a:alpha val="43000"/>
                  </a:srgbClr>
                </a:outerShdw>
              </a:effectLst>
              <a:latin typeface="+mn-lt"/>
              <a:ea typeface="+mn-ea"/>
              <a:cs typeface="+mn-cs"/>
            </a:rPr>
            <a:t>	</a:t>
          </a:r>
          <a:endParaRPr lang="en-AU" sz="1400">
            <a:solidFill>
              <a:schemeClr val="accent1"/>
            </a:solidFill>
          </a:endParaRPr>
        </a:p>
      </xdr:txBody>
    </xdr:sp>
    <xdr:clientData/>
  </xdr:oneCellAnchor>
  <xdr:oneCellAnchor>
    <xdr:from>
      <xdr:col>3</xdr:col>
      <xdr:colOff>508000</xdr:colOff>
      <xdr:row>15</xdr:row>
      <xdr:rowOff>107950</xdr:rowOff>
    </xdr:from>
    <xdr:ext cx="1968500" cy="381000"/>
    <xdr:sp macro="" textlink="">
      <xdr:nvSpPr>
        <xdr:cNvPr id="16" name="TextBox 15">
          <a:extLst>
            <a:ext uri="{FF2B5EF4-FFF2-40B4-BE49-F238E27FC236}">
              <a16:creationId xmlns:a16="http://schemas.microsoft.com/office/drawing/2014/main" id="{4089D526-2C56-C03C-4CB1-31E5DB819E10}"/>
            </a:ext>
          </a:extLst>
        </xdr:cNvPr>
        <xdr:cNvSpPr txBox="1"/>
      </xdr:nvSpPr>
      <xdr:spPr>
        <a:xfrm>
          <a:off x="3556000" y="2870200"/>
          <a:ext cx="19685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400" i="1">
              <a:solidFill>
                <a:schemeClr val="accent1"/>
              </a:solidFill>
            </a:rPr>
            <a:t>38.57% decrease</a:t>
          </a:r>
          <a:r>
            <a:rPr lang="en-AU" sz="1400" b="0" baseline="0">
              <a:solidFill>
                <a:schemeClr val="accent1"/>
              </a:solidFill>
              <a:effectLst>
                <a:outerShdw blurRad="38100" dist="25400" dir="5400000" algn="ctr" rotWithShape="0">
                  <a:srgbClr val="6E747A">
                    <a:alpha val="43000"/>
                  </a:srgbClr>
                </a:outerShdw>
              </a:effectLst>
              <a:latin typeface="+mn-lt"/>
              <a:ea typeface="+mn-ea"/>
              <a:cs typeface="+mn-cs"/>
            </a:rPr>
            <a:t>▼▼</a:t>
          </a:r>
          <a:endParaRPr lang="en-AU" sz="1400" i="1">
            <a:solidFill>
              <a:schemeClr val="accent1"/>
            </a:solidFill>
          </a:endParaRPr>
        </a:p>
      </xdr:txBody>
    </xdr:sp>
    <xdr:clientData/>
  </xdr:oneCellAnchor>
  <xdr:oneCellAnchor>
    <xdr:from>
      <xdr:col>7</xdr:col>
      <xdr:colOff>87922</xdr:colOff>
      <xdr:row>14</xdr:row>
      <xdr:rowOff>177775</xdr:rowOff>
    </xdr:from>
    <xdr:ext cx="5425735" cy="683846"/>
    <xdr:sp macro="" textlink="">
      <xdr:nvSpPr>
        <xdr:cNvPr id="46" name="TextBox 10">
          <a:extLst>
            <a:ext uri="{FF2B5EF4-FFF2-40B4-BE49-F238E27FC236}">
              <a16:creationId xmlns:a16="http://schemas.microsoft.com/office/drawing/2014/main" id="{E41AB4C4-D90B-4FDE-995B-0C1CBC8D350C}"/>
            </a:ext>
          </a:extLst>
        </xdr:cNvPr>
        <xdr:cNvSpPr txBox="1"/>
      </xdr:nvSpPr>
      <xdr:spPr>
        <a:xfrm>
          <a:off x="5578349" y="2779726"/>
          <a:ext cx="5425735" cy="683846"/>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600">
              <a:solidFill>
                <a:schemeClr val="tx1"/>
              </a:solidFill>
              <a:effectLst/>
              <a:latin typeface="+mn-lt"/>
              <a:ea typeface="+mn-ea"/>
              <a:cs typeface="+mn-cs"/>
            </a:rPr>
            <a:t>                             💰</a:t>
          </a:r>
          <a:r>
            <a:rPr lang="en-AU" sz="1400">
              <a:solidFill>
                <a:schemeClr val="tx1"/>
              </a:solidFill>
              <a:effectLst/>
              <a:latin typeface="+mn-lt"/>
              <a:ea typeface="+mn-ea"/>
              <a:cs typeface="+mn-cs"/>
            </a:rPr>
            <a:t> </a:t>
          </a:r>
          <a:r>
            <a:rPr lang="en-AU" sz="1400" b="1" u="sng">
              <a:solidFill>
                <a:schemeClr val="accent1"/>
              </a:solidFill>
              <a:effectLst/>
              <a:latin typeface="+mn-lt"/>
              <a:ea typeface="+mn-ea"/>
              <a:cs typeface="+mn-cs"/>
            </a:rPr>
            <a:t>Cash</a:t>
          </a:r>
          <a:r>
            <a:rPr lang="en-AU" sz="1400" b="1" u="sng" baseline="0">
              <a:solidFill>
                <a:schemeClr val="accent1"/>
              </a:solidFill>
              <a:effectLst/>
              <a:latin typeface="+mn-lt"/>
              <a:ea typeface="+mn-ea"/>
              <a:cs typeface="+mn-cs"/>
            </a:rPr>
            <a:t> and Cash Equivalents (B&amp;L) </a:t>
          </a:r>
          <a:r>
            <a:rPr lang="en-AU" sz="1600" b="1" baseline="0">
              <a:solidFill>
                <a:schemeClr val="accent1"/>
              </a:solidFill>
              <a:effectLst/>
              <a:latin typeface="+mn-lt"/>
              <a:ea typeface="+mn-ea"/>
              <a:cs typeface="+mn-cs"/>
            </a:rPr>
            <a:t>💰</a:t>
          </a:r>
          <a:r>
            <a:rPr lang="en-AU" sz="1100" b="1" baseline="0">
              <a:solidFill>
                <a:schemeClr val="accent1"/>
              </a:solidFill>
              <a:effectLst/>
              <a:latin typeface="+mn-lt"/>
              <a:ea typeface="+mn-ea"/>
              <a:cs typeface="+mn-cs"/>
            </a:rPr>
            <a:t>	</a:t>
          </a:r>
          <a:endParaRPr lang="en-AU" sz="1400">
            <a:solidFill>
              <a:schemeClr val="accent1"/>
            </a:solidFill>
            <a:effectLst/>
          </a:endParaRPr>
        </a:p>
        <a:p>
          <a:r>
            <a:rPr lang="en-AU" sz="1100">
              <a:solidFill>
                <a:schemeClr val="accent1"/>
              </a:solidFill>
              <a:effectLst/>
              <a:latin typeface="+mn-lt"/>
              <a:ea typeface="+mn-ea"/>
              <a:cs typeface="+mn-cs"/>
            </a:rPr>
            <a:t>                                                                                   </a:t>
          </a:r>
          <a:r>
            <a:rPr lang="en-AU" sz="1200">
              <a:solidFill>
                <a:schemeClr val="accent1"/>
              </a:solidFill>
              <a:effectLst/>
              <a:latin typeface="+mn-lt"/>
              <a:ea typeface="+mn-ea"/>
              <a:cs typeface="+mn-cs"/>
            </a:rPr>
            <a:t>2022: $</a:t>
          </a:r>
          <a:r>
            <a:rPr lang="en-AU" sz="1200" b="1">
              <a:solidFill>
                <a:schemeClr val="accent1"/>
              </a:solidFill>
              <a:effectLst/>
              <a:latin typeface="+mn-lt"/>
              <a:ea typeface="+mn-ea"/>
              <a:cs typeface="+mn-cs"/>
            </a:rPr>
            <a:t>36.7m</a:t>
          </a:r>
          <a:r>
            <a:rPr lang="en-AU" sz="1100" b="0" baseline="0">
              <a:solidFill>
                <a:schemeClr val="tx1"/>
              </a:solidFill>
              <a:effectLst>
                <a:outerShdw blurRad="38100" dist="25400" dir="5400000" algn="ctr" rotWithShape="0">
                  <a:srgbClr val="6E747A">
                    <a:alpha val="43000"/>
                  </a:srgbClr>
                </a:outerShdw>
              </a:effectLst>
              <a:latin typeface="+mn-lt"/>
              <a:ea typeface="+mn-ea"/>
              <a:cs typeface="+mn-cs"/>
            </a:rPr>
            <a:t>	</a:t>
          </a:r>
          <a:endParaRPr lang="en-AU" sz="1400">
            <a:effectLst/>
          </a:endParaRPr>
        </a:p>
        <a:p>
          <a:endParaRPr lang="en-AU" sz="1400">
            <a:solidFill>
              <a:schemeClr val="accent1"/>
            </a:solidFill>
          </a:endParaRPr>
        </a:p>
      </xdr:txBody>
    </xdr:sp>
    <xdr:clientData/>
  </xdr:oneCellAnchor>
  <xdr:twoCellAnchor>
    <xdr:from>
      <xdr:col>9</xdr:col>
      <xdr:colOff>606986</xdr:colOff>
      <xdr:row>18</xdr:row>
      <xdr:rowOff>15488</xdr:rowOff>
    </xdr:from>
    <xdr:to>
      <xdr:col>16</xdr:col>
      <xdr:colOff>12700</xdr:colOff>
      <xdr:row>33</xdr:row>
      <xdr:rowOff>6350</xdr:rowOff>
    </xdr:to>
    <xdr:graphicFrame macro="">
      <xdr:nvGraphicFramePr>
        <xdr:cNvPr id="45" name="Chart 4">
          <a:extLst>
            <a:ext uri="{FF2B5EF4-FFF2-40B4-BE49-F238E27FC236}">
              <a16:creationId xmlns:a16="http://schemas.microsoft.com/office/drawing/2014/main" id="{728D813F-9AE6-4286-88FB-AB74AF2C7753}"/>
            </a:ext>
            <a:ext uri="{147F2762-F138-4A5C-976F-8EAC2B608ADB}">
              <a16:predDERef xmlns:a16="http://schemas.microsoft.com/office/drawing/2014/main" pred="{E41AB4C4-D90B-4FDE-995B-0C1CBC8D3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xdr:col>
      <xdr:colOff>596901</xdr:colOff>
      <xdr:row>18</xdr:row>
      <xdr:rowOff>15488</xdr:rowOff>
    </xdr:from>
    <xdr:to>
      <xdr:col>10</xdr:col>
      <xdr:colOff>12701</xdr:colOff>
      <xdr:row>33</xdr:row>
      <xdr:rowOff>6350</xdr:rowOff>
    </xdr:to>
    <xdr:graphicFrame macro="">
      <xdr:nvGraphicFramePr>
        <xdr:cNvPr id="43" name="Chart 6">
          <a:extLst>
            <a:ext uri="{FF2B5EF4-FFF2-40B4-BE49-F238E27FC236}">
              <a16:creationId xmlns:a16="http://schemas.microsoft.com/office/drawing/2014/main" id="{33B8759B-EB68-4B17-B0B3-D49E006733C2}"/>
            </a:ext>
            <a:ext uri="{147F2762-F138-4A5C-976F-8EAC2B608ADB}">
              <a16:predDERef xmlns:a16="http://schemas.microsoft.com/office/drawing/2014/main" pred="{728D813F-9AE6-4286-88FB-AB74AF2C7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xdr:col>
      <xdr:colOff>601718</xdr:colOff>
      <xdr:row>2</xdr:row>
      <xdr:rowOff>9768</xdr:rowOff>
    </xdr:from>
    <xdr:to>
      <xdr:col>9</xdr:col>
      <xdr:colOff>603249</xdr:colOff>
      <xdr:row>14</xdr:row>
      <xdr:rowOff>177799</xdr:rowOff>
    </xdr:to>
    <xdr:graphicFrame macro="">
      <xdr:nvGraphicFramePr>
        <xdr:cNvPr id="29" name="Chart 1">
          <a:extLst>
            <a:ext uri="{FF2B5EF4-FFF2-40B4-BE49-F238E27FC236}">
              <a16:creationId xmlns:a16="http://schemas.microsoft.com/office/drawing/2014/main" id="{7CC1B608-9426-4C6D-B49B-417BA8A11A0F}"/>
            </a:ext>
            <a:ext uri="{147F2762-F138-4A5C-976F-8EAC2B608ADB}">
              <a16:predDERef xmlns:a16="http://schemas.microsoft.com/office/drawing/2014/main" pred="{33B8759B-EB68-4B17-B0B3-D49E00673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7</xdr:col>
      <xdr:colOff>53241</xdr:colOff>
      <xdr:row>14</xdr:row>
      <xdr:rowOff>175358</xdr:rowOff>
    </xdr:from>
    <xdr:to>
      <xdr:col>7</xdr:col>
      <xdr:colOff>98960</xdr:colOff>
      <xdr:row>18</xdr:row>
      <xdr:rowOff>14654</xdr:rowOff>
    </xdr:to>
    <xdr:sp macro="" textlink="">
      <xdr:nvSpPr>
        <xdr:cNvPr id="13" name="TextBox 12">
          <a:extLst>
            <a:ext uri="{FF2B5EF4-FFF2-40B4-BE49-F238E27FC236}">
              <a16:creationId xmlns:a16="http://schemas.microsoft.com/office/drawing/2014/main" id="{B1743D7B-75FB-96C1-7664-06A0471198CD}"/>
            </a:ext>
          </a:extLst>
        </xdr:cNvPr>
        <xdr:cNvSpPr txBox="1"/>
      </xdr:nvSpPr>
      <xdr:spPr>
        <a:xfrm>
          <a:off x="5543549" y="2773973"/>
          <a:ext cx="45719" cy="58175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twoCellAnchor>
    <xdr:from>
      <xdr:col>9</xdr:col>
      <xdr:colOff>600806</xdr:colOff>
      <xdr:row>2</xdr:row>
      <xdr:rowOff>9768</xdr:rowOff>
    </xdr:from>
    <xdr:to>
      <xdr:col>16</xdr:col>
      <xdr:colOff>8355</xdr:colOff>
      <xdr:row>14</xdr:row>
      <xdr:rowOff>175845</xdr:rowOff>
    </xdr:to>
    <xdr:graphicFrame macro="">
      <xdr:nvGraphicFramePr>
        <xdr:cNvPr id="42" name="Chart 13">
          <a:extLst>
            <a:ext uri="{FF2B5EF4-FFF2-40B4-BE49-F238E27FC236}">
              <a16:creationId xmlns:a16="http://schemas.microsoft.com/office/drawing/2014/main" id="{0222D5F1-5AC8-4302-B35B-3A5D8014CFF5}"/>
            </a:ext>
            <a:ext uri="{147F2762-F138-4A5C-976F-8EAC2B608ADB}">
              <a16:predDERef xmlns:a16="http://schemas.microsoft.com/office/drawing/2014/main" pred="{B1743D7B-75FB-96C1-7664-06A047119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0</xdr:colOff>
      <xdr:row>2</xdr:row>
      <xdr:rowOff>987</xdr:rowOff>
    </xdr:from>
    <xdr:to>
      <xdr:col>4</xdr:col>
      <xdr:colOff>34891</xdr:colOff>
      <xdr:row>14</xdr:row>
      <xdr:rowOff>165506</xdr:rowOff>
    </xdr:to>
    <xdr:graphicFrame macro="">
      <xdr:nvGraphicFramePr>
        <xdr:cNvPr id="28" name="Chart 11">
          <a:extLst>
            <a:ext uri="{FF2B5EF4-FFF2-40B4-BE49-F238E27FC236}">
              <a16:creationId xmlns:a16="http://schemas.microsoft.com/office/drawing/2014/main" id="{A34D1C0B-68F0-4F55-9C56-BF95F2972320}"/>
            </a:ext>
            <a:ext uri="{147F2762-F138-4A5C-976F-8EAC2B608ADB}">
              <a16:predDERef xmlns:a16="http://schemas.microsoft.com/office/drawing/2014/main" pred="{55FE4D33-51DC-0CE0-90A6-8D57841EC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0</xdr:col>
      <xdr:colOff>0</xdr:colOff>
      <xdr:row>18</xdr:row>
      <xdr:rowOff>14941</xdr:rowOff>
    </xdr:from>
    <xdr:to>
      <xdr:col>4</xdr:col>
      <xdr:colOff>2616</xdr:colOff>
      <xdr:row>33</xdr:row>
      <xdr:rowOff>6350</xdr:rowOff>
    </xdr:to>
    <xdr:graphicFrame macro="">
      <xdr:nvGraphicFramePr>
        <xdr:cNvPr id="14" name="Chart 5">
          <a:extLst>
            <a:ext uri="{FF2B5EF4-FFF2-40B4-BE49-F238E27FC236}">
              <a16:creationId xmlns:a16="http://schemas.microsoft.com/office/drawing/2014/main" id="{17BB721F-A561-454F-9BF9-9078DEE4B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xdr:col>
      <xdr:colOff>11841</xdr:colOff>
      <xdr:row>32</xdr:row>
      <xdr:rowOff>97693</xdr:rowOff>
    </xdr:from>
    <xdr:to>
      <xdr:col>13</xdr:col>
      <xdr:colOff>97528</xdr:colOff>
      <xdr:row>39</xdr:row>
      <xdr:rowOff>84169</xdr:rowOff>
    </xdr:to>
    <xdr:sp macro="" textlink="">
      <xdr:nvSpPr>
        <xdr:cNvPr id="47" name="Title 1">
          <a:extLst>
            <a:ext uri="{FF2B5EF4-FFF2-40B4-BE49-F238E27FC236}">
              <a16:creationId xmlns:a16="http://schemas.microsoft.com/office/drawing/2014/main" id="{BA9AD228-FAB0-460C-A327-EAA10222AE04}"/>
            </a:ext>
          </a:extLst>
        </xdr:cNvPr>
        <xdr:cNvSpPr>
          <a:spLocks noGrp="1"/>
        </xdr:cNvSpPr>
      </xdr:nvSpPr>
      <xdr:spPr>
        <a:xfrm>
          <a:off x="3042523" y="5947390"/>
          <a:ext cx="6147050" cy="1256476"/>
        </a:xfrm>
        <a:prstGeom prst="rect">
          <a:avLst/>
        </a:prstGeom>
      </xdr:spPr>
      <xdr:txBody>
        <a:bodyPr vert="horz" wrap="square" lIns="91440" tIns="45720" rIns="91440" bIns="45720" rtlCol="0" anchor="t">
          <a:noAutofit/>
        </a:bodyPr>
        <a:lstStyle>
          <a:lvl1pPr algn="l" defTabSz="914400" rtl="0" eaLnBrk="1" latinLnBrk="0" hangingPunct="1">
            <a:lnSpc>
              <a:spcPct val="100000"/>
            </a:lnSpc>
            <a:spcBef>
              <a:spcPct val="0"/>
            </a:spcBef>
            <a:buNone/>
            <a:defRPr sz="4400" b="1" kern="1200">
              <a:solidFill>
                <a:schemeClr val="tx1"/>
              </a:solidFill>
              <a:latin typeface="+mj-lt"/>
              <a:ea typeface="+mj-ea"/>
              <a:cs typeface="+mj-cs"/>
            </a:defRPr>
          </a:lvl1pPr>
        </a:lstStyle>
        <a:p>
          <a:r>
            <a:rPr lang="en-US" sz="8000" b="1" i="0" u="none">
              <a:ln>
                <a:solidFill>
                  <a:schemeClr val="tx1"/>
                </a:solidFill>
              </a:ln>
              <a:solidFill>
                <a:schemeClr val="accent1"/>
              </a:solidFill>
              <a:latin typeface="Comic Sans MS" panose="030F0702030302020204" pitchFamily="66" charset="0"/>
            </a:rPr>
            <a:t>Liquidity</a:t>
          </a:r>
        </a:p>
      </xdr:txBody>
    </xdr:sp>
    <xdr:clientData/>
  </xdr:twoCellAnchor>
  <xdr:twoCellAnchor>
    <xdr:from>
      <xdr:col>0</xdr:col>
      <xdr:colOff>961520</xdr:colOff>
      <xdr:row>11</xdr:row>
      <xdr:rowOff>171662</xdr:rowOff>
    </xdr:from>
    <xdr:to>
      <xdr:col>1</xdr:col>
      <xdr:colOff>190953</xdr:colOff>
      <xdr:row>13</xdr:row>
      <xdr:rowOff>99184</xdr:rowOff>
    </xdr:to>
    <xdr:sp macro="" textlink="">
      <xdr:nvSpPr>
        <xdr:cNvPr id="5" name="TextBox 1">
          <a:extLst>
            <a:ext uri="{FF2B5EF4-FFF2-40B4-BE49-F238E27FC236}">
              <a16:creationId xmlns:a16="http://schemas.microsoft.com/office/drawing/2014/main" id="{0BB7A9DD-43A5-4475-239C-A0C33394A9AB}"/>
            </a:ext>
          </a:extLst>
        </xdr:cNvPr>
        <xdr:cNvSpPr txBox="1"/>
      </xdr:nvSpPr>
      <xdr:spPr>
        <a:xfrm>
          <a:off x="961520" y="2214445"/>
          <a:ext cx="1056556" cy="29893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AU" sz="900" kern="1200">
              <a:solidFill>
                <a:schemeClr val="bg1"/>
              </a:solidFill>
            </a:rPr>
            <a:t>B&amp;L</a:t>
          </a:r>
        </a:p>
        <a:p>
          <a:pPr algn="ctr"/>
          <a:r>
            <a:rPr lang="en-AU" sz="900" kern="1200">
              <a:solidFill>
                <a:schemeClr val="bg1"/>
              </a:solidFill>
            </a:rPr>
            <a:t>(2022)</a:t>
          </a:r>
        </a:p>
      </xdr:txBody>
    </xdr:sp>
    <xdr:clientData/>
  </xdr:twoCellAnchor>
  <xdr:twoCellAnchor>
    <xdr:from>
      <xdr:col>9</xdr:col>
      <xdr:colOff>578813</xdr:colOff>
      <xdr:row>32</xdr:row>
      <xdr:rowOff>67733</xdr:rowOff>
    </xdr:from>
    <xdr:to>
      <xdr:col>16</xdr:col>
      <xdr:colOff>971743</xdr:colOff>
      <xdr:row>42</xdr:row>
      <xdr:rowOff>28242</xdr:rowOff>
    </xdr:to>
    <xdr:graphicFrame macro="">
      <xdr:nvGraphicFramePr>
        <xdr:cNvPr id="49" name="Content Placeholder 5">
          <a:extLst>
            <a:ext uri="{FF2B5EF4-FFF2-40B4-BE49-F238E27FC236}">
              <a16:creationId xmlns:a16="http://schemas.microsoft.com/office/drawing/2014/main" id="{89B50209-1CA1-43EA-B97E-29E375984AB2}"/>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4" r:lo="rId25" r:qs="rId26" r:cs="rId27"/>
        </a:graphicData>
      </a:graphic>
    </xdr:graphicFrame>
    <xdr:clientData/>
  </xdr:twoCellAnchor>
  <xdr:twoCellAnchor>
    <xdr:from>
      <xdr:col>13</xdr:col>
      <xdr:colOff>302201</xdr:colOff>
      <xdr:row>11</xdr:row>
      <xdr:rowOff>129414</xdr:rowOff>
    </xdr:from>
    <xdr:to>
      <xdr:col>15</xdr:col>
      <xdr:colOff>136681</xdr:colOff>
      <xdr:row>13</xdr:row>
      <xdr:rowOff>59471</xdr:rowOff>
    </xdr:to>
    <xdr:sp macro="" textlink="">
      <xdr:nvSpPr>
        <xdr:cNvPr id="10" name="TextBox 1">
          <a:extLst>
            <a:ext uri="{FF2B5EF4-FFF2-40B4-BE49-F238E27FC236}">
              <a16:creationId xmlns:a16="http://schemas.microsoft.com/office/drawing/2014/main" id="{24EC0BEA-4076-4D95-A178-76C2CA9458EA}"/>
            </a:ext>
          </a:extLst>
        </xdr:cNvPr>
        <xdr:cNvSpPr txBox="1"/>
      </xdr:nvSpPr>
      <xdr:spPr>
        <a:xfrm>
          <a:off x="9460855" y="2144318"/>
          <a:ext cx="1055634" cy="29640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AU" sz="900" kern="1200">
              <a:solidFill>
                <a:schemeClr val="bg1"/>
              </a:solidFill>
            </a:rPr>
            <a:t>Best&amp;Less </a:t>
          </a:r>
        </a:p>
        <a:p>
          <a:pPr algn="ctr"/>
          <a:r>
            <a:rPr lang="en-AU" sz="900" kern="1200">
              <a:solidFill>
                <a:schemeClr val="bg1"/>
              </a:solidFill>
            </a:rPr>
            <a:t>(2022)</a:t>
          </a:r>
        </a:p>
      </xdr:txBody>
    </xdr:sp>
    <xdr:clientData/>
  </xdr:twoCellAnchor>
  <xdr:twoCellAnchor>
    <xdr:from>
      <xdr:col>11</xdr:col>
      <xdr:colOff>449029</xdr:colOff>
      <xdr:row>27</xdr:row>
      <xdr:rowOff>35909</xdr:rowOff>
    </xdr:from>
    <xdr:to>
      <xdr:col>12</xdr:col>
      <xdr:colOff>64032</xdr:colOff>
      <xdr:row>29</xdr:row>
      <xdr:rowOff>102688</xdr:rowOff>
    </xdr:to>
    <xdr:sp macro="" textlink="">
      <xdr:nvSpPr>
        <xdr:cNvPr id="12" name="TextBox 11">
          <a:extLst>
            <a:ext uri="{FF2B5EF4-FFF2-40B4-BE49-F238E27FC236}">
              <a16:creationId xmlns:a16="http://schemas.microsoft.com/office/drawing/2014/main" id="{A74E720D-C960-49A1-A8BD-CEE227860EC2}"/>
            </a:ext>
          </a:extLst>
        </xdr:cNvPr>
        <xdr:cNvSpPr txBox="1"/>
      </xdr:nvSpPr>
      <xdr:spPr>
        <a:xfrm rot="16200000">
          <a:off x="8266475" y="5172463"/>
          <a:ext cx="439312" cy="22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5</xdr:col>
      <xdr:colOff>404943</xdr:colOff>
      <xdr:row>27</xdr:row>
      <xdr:rowOff>104228</xdr:rowOff>
    </xdr:from>
    <xdr:to>
      <xdr:col>6</xdr:col>
      <xdr:colOff>23450</xdr:colOff>
      <xdr:row>29</xdr:row>
      <xdr:rowOff>167211</xdr:rowOff>
    </xdr:to>
    <xdr:sp macro="" textlink="">
      <xdr:nvSpPr>
        <xdr:cNvPr id="17" name="TextBox 16">
          <a:extLst>
            <a:ext uri="{FF2B5EF4-FFF2-40B4-BE49-F238E27FC236}">
              <a16:creationId xmlns:a16="http://schemas.microsoft.com/office/drawing/2014/main" id="{FD5D4FB5-42CA-4DCB-8B8B-9E7DE200BEAD}"/>
            </a:ext>
          </a:extLst>
        </xdr:cNvPr>
        <xdr:cNvSpPr txBox="1"/>
      </xdr:nvSpPr>
      <xdr:spPr>
        <a:xfrm rot="16200000">
          <a:off x="4568439" y="5237132"/>
          <a:ext cx="435516"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0</xdr:col>
      <xdr:colOff>717561</xdr:colOff>
      <xdr:row>28</xdr:row>
      <xdr:rowOff>159740</xdr:rowOff>
    </xdr:from>
    <xdr:to>
      <xdr:col>0</xdr:col>
      <xdr:colOff>1148176</xdr:colOff>
      <xdr:row>30</xdr:row>
      <xdr:rowOff>20215</xdr:rowOff>
    </xdr:to>
    <xdr:sp macro="" textlink="">
      <xdr:nvSpPr>
        <xdr:cNvPr id="19" name="TextBox 18">
          <a:extLst>
            <a:ext uri="{FF2B5EF4-FFF2-40B4-BE49-F238E27FC236}">
              <a16:creationId xmlns:a16="http://schemas.microsoft.com/office/drawing/2014/main" id="{F3D05CA0-0A96-42D4-B129-A3744116A507}"/>
            </a:ext>
          </a:extLst>
        </xdr:cNvPr>
        <xdr:cNvSpPr txBox="1"/>
      </xdr:nvSpPr>
      <xdr:spPr>
        <a:xfrm>
          <a:off x="717561" y="5306582"/>
          <a:ext cx="430615"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0</xdr:col>
      <xdr:colOff>527169</xdr:colOff>
      <xdr:row>12</xdr:row>
      <xdr:rowOff>11981</xdr:rowOff>
    </xdr:from>
    <xdr:to>
      <xdr:col>0</xdr:col>
      <xdr:colOff>1583725</xdr:colOff>
      <xdr:row>13</xdr:row>
      <xdr:rowOff>125211</xdr:rowOff>
    </xdr:to>
    <xdr:sp macro="" textlink="">
      <xdr:nvSpPr>
        <xdr:cNvPr id="2" name="TextBox 1">
          <a:extLst>
            <a:ext uri="{FF2B5EF4-FFF2-40B4-BE49-F238E27FC236}">
              <a16:creationId xmlns:a16="http://schemas.microsoft.com/office/drawing/2014/main" id="{79EE399C-1534-4343-B691-96063C1621AE}"/>
            </a:ext>
          </a:extLst>
        </xdr:cNvPr>
        <xdr:cNvSpPr txBox="1"/>
      </xdr:nvSpPr>
      <xdr:spPr>
        <a:xfrm>
          <a:off x="527169" y="2240472"/>
          <a:ext cx="1056556" cy="29893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AU" sz="900" kern="1200">
              <a:solidFill>
                <a:schemeClr val="bg1"/>
              </a:solidFill>
            </a:rPr>
            <a:t>Benchmark</a:t>
          </a:r>
        </a:p>
      </xdr:txBody>
    </xdr:sp>
    <xdr:clientData/>
  </xdr:twoCellAnchor>
  <xdr:twoCellAnchor>
    <xdr:from>
      <xdr:col>13</xdr:col>
      <xdr:colOff>203201</xdr:colOff>
      <xdr:row>21</xdr:row>
      <xdr:rowOff>93133</xdr:rowOff>
    </xdr:from>
    <xdr:to>
      <xdr:col>13</xdr:col>
      <xdr:colOff>482603</xdr:colOff>
      <xdr:row>26</xdr:row>
      <xdr:rowOff>100645</xdr:rowOff>
    </xdr:to>
    <xdr:sp macro="" textlink="">
      <xdr:nvSpPr>
        <xdr:cNvPr id="11" name="TextBox 10">
          <a:extLst>
            <a:ext uri="{FF2B5EF4-FFF2-40B4-BE49-F238E27FC236}">
              <a16:creationId xmlns:a16="http://schemas.microsoft.com/office/drawing/2014/main" id="{9FE8C964-F214-4C61-B679-3F4FD82FDDDA}"/>
            </a:ext>
          </a:extLst>
        </xdr:cNvPr>
        <xdr:cNvSpPr txBox="1"/>
      </xdr:nvSpPr>
      <xdr:spPr>
        <a:xfrm rot="16200000">
          <a:off x="9017479" y="4334455"/>
          <a:ext cx="938845" cy="27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Benchmark</a:t>
          </a:r>
        </a:p>
      </xdr:txBody>
    </xdr:sp>
    <xdr:clientData/>
  </xdr:twoCellAnchor>
  <xdr:twoCellAnchor>
    <xdr:from>
      <xdr:col>7</xdr:col>
      <xdr:colOff>152401</xdr:colOff>
      <xdr:row>25</xdr:row>
      <xdr:rowOff>50800</xdr:rowOff>
    </xdr:from>
    <xdr:to>
      <xdr:col>7</xdr:col>
      <xdr:colOff>431803</xdr:colOff>
      <xdr:row>30</xdr:row>
      <xdr:rowOff>58312</xdr:rowOff>
    </xdr:to>
    <xdr:sp macro="" textlink="">
      <xdr:nvSpPr>
        <xdr:cNvPr id="20" name="TextBox 19">
          <a:extLst>
            <a:ext uri="{FF2B5EF4-FFF2-40B4-BE49-F238E27FC236}">
              <a16:creationId xmlns:a16="http://schemas.microsoft.com/office/drawing/2014/main" id="{377CE58C-305A-46E5-BEB1-3713C4339E70}"/>
            </a:ext>
          </a:extLst>
        </xdr:cNvPr>
        <xdr:cNvSpPr txBox="1"/>
      </xdr:nvSpPr>
      <xdr:spPr>
        <a:xfrm rot="16200000">
          <a:off x="5309079" y="5037189"/>
          <a:ext cx="938845" cy="27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Benchmark</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0.37525</cdr:x>
      <cdr:y>0.30914</cdr:y>
    </cdr:from>
    <cdr:to>
      <cdr:x>0.62475</cdr:x>
      <cdr:y>0.69086</cdr:y>
    </cdr:to>
    <cdr:sp macro="" textlink="">
      <cdr:nvSpPr>
        <cdr:cNvPr id="2" name="TextBox 1">
          <a:extLst xmlns:a="http://schemas.openxmlformats.org/drawingml/2006/main">
            <a:ext uri="{FF2B5EF4-FFF2-40B4-BE49-F238E27FC236}">
              <a16:creationId xmlns:a16="http://schemas.microsoft.com/office/drawing/2014/main" id="{4AC7CBBD-317E-3BB3-CE40-06DB0C62781E}"/>
            </a:ext>
          </a:extLst>
        </cdr:cNvPr>
        <cdr:cNvSpPr txBox="1"/>
      </cdr:nvSpPr>
      <cdr:spPr>
        <a:xfrm xmlns:a="http://schemas.openxmlformats.org/drawingml/2006/main">
          <a:off x="1375296" y="74050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dr:relSizeAnchor xmlns:cdr="http://schemas.openxmlformats.org/drawingml/2006/chartDrawing">
    <cdr:from>
      <cdr:x>0.14615</cdr:x>
      <cdr:y>0.76361</cdr:y>
    </cdr:from>
    <cdr:to>
      <cdr:x>0.43421</cdr:x>
      <cdr:y>0.88834</cdr:y>
    </cdr:to>
    <cdr:sp macro="" textlink="">
      <cdr:nvSpPr>
        <cdr:cNvPr id="3" name="TextBox 1">
          <a:extLst xmlns:a="http://schemas.openxmlformats.org/drawingml/2006/main">
            <a:ext uri="{FF2B5EF4-FFF2-40B4-BE49-F238E27FC236}">
              <a16:creationId xmlns:a16="http://schemas.microsoft.com/office/drawing/2014/main" id="{79EE399C-1534-4343-B691-96063C1621AE}"/>
            </a:ext>
          </a:extLst>
        </cdr:cNvPr>
        <cdr:cNvSpPr txBox="1"/>
      </cdr:nvSpPr>
      <cdr:spPr>
        <a:xfrm xmlns:a="http://schemas.openxmlformats.org/drawingml/2006/main">
          <a:off x="536036" y="1829998"/>
          <a:ext cx="1056556" cy="2989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kern="1200">
              <a:solidFill>
                <a:schemeClr val="bg1"/>
              </a:solidFill>
            </a:rPr>
            <a:t>Benchmark</a:t>
          </a:r>
        </a:p>
      </cdr:txBody>
    </cdr:sp>
  </cdr:relSizeAnchor>
  <cdr:relSizeAnchor xmlns:cdr="http://schemas.openxmlformats.org/drawingml/2006/chartDrawing">
    <cdr:from>
      <cdr:x>0.25558</cdr:x>
      <cdr:y>0.75611</cdr:y>
    </cdr:from>
    <cdr:to>
      <cdr:x>0.54365</cdr:x>
      <cdr:y>0.88084</cdr:y>
    </cdr:to>
    <cdr:sp macro="" textlink="">
      <cdr:nvSpPr>
        <cdr:cNvPr id="4" name="TextBox 1">
          <a:extLst xmlns:a="http://schemas.openxmlformats.org/drawingml/2006/main">
            <a:ext uri="{FF2B5EF4-FFF2-40B4-BE49-F238E27FC236}">
              <a16:creationId xmlns:a16="http://schemas.microsoft.com/office/drawing/2014/main" id="{0BB7A9DD-43A5-4475-239C-A0C33394A9AB}"/>
            </a:ext>
          </a:extLst>
        </cdr:cNvPr>
        <cdr:cNvSpPr txBox="1"/>
      </cdr:nvSpPr>
      <cdr:spPr>
        <a:xfrm xmlns:a="http://schemas.openxmlformats.org/drawingml/2006/main">
          <a:off x="937404" y="1812027"/>
          <a:ext cx="1056556" cy="2989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AU" sz="900" kern="1200">
              <a:solidFill>
                <a:schemeClr val="bg1"/>
              </a:solidFill>
            </a:rPr>
            <a:t>B&amp;L</a:t>
          </a:r>
        </a:p>
        <a:p xmlns:a="http://schemas.openxmlformats.org/drawingml/2006/main">
          <a:pPr algn="ctr"/>
          <a:r>
            <a:rPr lang="en-AU" sz="900" kern="1200">
              <a:solidFill>
                <a:schemeClr val="bg1"/>
              </a:solidFill>
            </a:rPr>
            <a:t>(2022)</a:t>
          </a:r>
        </a:p>
      </cdr:txBody>
    </cdr:sp>
  </cdr:relSizeAnchor>
</c:userShapes>
</file>

<file path=xl/drawings/drawing7.xml><?xml version="1.0" encoding="utf-8"?>
<c:userShapes xmlns:c="http://schemas.openxmlformats.org/drawingml/2006/chart">
  <cdr:relSizeAnchor xmlns:cdr="http://schemas.openxmlformats.org/drawingml/2006/chartDrawing">
    <cdr:from>
      <cdr:x>0.79208</cdr:x>
      <cdr:y>0.77304</cdr:y>
    </cdr:from>
    <cdr:to>
      <cdr:x>0.98507</cdr:x>
      <cdr:y>0.89788</cdr:y>
    </cdr:to>
    <cdr:sp macro="" textlink="">
      <cdr:nvSpPr>
        <cdr:cNvPr id="2" name="TextBox 1">
          <a:extLst xmlns:a="http://schemas.openxmlformats.org/drawingml/2006/main">
            <a:ext uri="{FF2B5EF4-FFF2-40B4-BE49-F238E27FC236}">
              <a16:creationId xmlns:a16="http://schemas.microsoft.com/office/drawing/2014/main" id="{3011CF6A-25E3-2583-D3EF-A1BBA097DE6B}"/>
            </a:ext>
          </a:extLst>
        </cdr:cNvPr>
        <cdr:cNvSpPr txBox="1"/>
      </cdr:nvSpPr>
      <cdr:spPr>
        <a:xfrm xmlns:a="http://schemas.openxmlformats.org/drawingml/2006/main">
          <a:off x="2916117" y="1827579"/>
          <a:ext cx="710519" cy="2951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kern="1200">
              <a:solidFill>
                <a:schemeClr val="bg1"/>
              </a:solidFill>
            </a:rPr>
            <a:t>Benchmark</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394729</xdr:colOff>
      <xdr:row>15</xdr:row>
      <xdr:rowOff>28575</xdr:rowOff>
    </xdr:to>
    <xdr:graphicFrame macro="">
      <xdr:nvGraphicFramePr>
        <xdr:cNvPr id="5" name="Chart 1" descr="Chart type: Clustered Bar. 'Field2'&#10;&#10;Description automatically generated">
          <a:extLst>
            <a:ext uri="{FF2B5EF4-FFF2-40B4-BE49-F238E27FC236}">
              <a16:creationId xmlns:a16="http://schemas.microsoft.com/office/drawing/2014/main" id="{EAC17189-D3F8-4112-8D7D-5FDADCC8DB92}"/>
            </a:ext>
            <a:ext uri="{147F2762-F138-4A5C-976F-8EAC2B608ADB}">
              <a16:predDERef xmlns:a16="http://schemas.microsoft.com/office/drawing/2014/main" pred="{CD8CDE6D-F1AD-A114-2653-D85DCBF82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763717</xdr:colOff>
      <xdr:row>0</xdr:row>
      <xdr:rowOff>0</xdr:rowOff>
    </xdr:from>
    <xdr:to>
      <xdr:col>11</xdr:col>
      <xdr:colOff>561976</xdr:colOff>
      <xdr:row>15</xdr:row>
      <xdr:rowOff>34324</xdr:rowOff>
    </xdr:to>
    <xdr:graphicFrame macro="">
      <xdr:nvGraphicFramePr>
        <xdr:cNvPr id="40" name="Chart 4">
          <a:extLst>
            <a:ext uri="{FF2B5EF4-FFF2-40B4-BE49-F238E27FC236}">
              <a16:creationId xmlns:a16="http://schemas.microsoft.com/office/drawing/2014/main" id="{7BF5CF31-295B-4210-8DE2-4DF4855605C9}"/>
            </a:ext>
            <a:ext uri="{147F2762-F138-4A5C-976F-8EAC2B608ADB}">
              <a16:predDERef xmlns:a16="http://schemas.microsoft.com/office/drawing/2014/main" pred="{57768E86-7C27-4E3E-ABD1-0FB1F979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763717</xdr:colOff>
      <xdr:row>14</xdr:row>
      <xdr:rowOff>154459</xdr:rowOff>
    </xdr:from>
    <xdr:to>
      <xdr:col>11</xdr:col>
      <xdr:colOff>557772</xdr:colOff>
      <xdr:row>30</xdr:row>
      <xdr:rowOff>0</xdr:rowOff>
    </xdr:to>
    <xdr:graphicFrame macro="">
      <xdr:nvGraphicFramePr>
        <xdr:cNvPr id="53" name="Chart 7">
          <a:extLst>
            <a:ext uri="{FF2B5EF4-FFF2-40B4-BE49-F238E27FC236}">
              <a16:creationId xmlns:a16="http://schemas.microsoft.com/office/drawing/2014/main" id="{750426DB-8E7A-4627-90E1-090C467D533E}"/>
            </a:ext>
            <a:ext uri="{147F2762-F138-4A5C-976F-8EAC2B608ADB}">
              <a16:predDERef xmlns:a16="http://schemas.microsoft.com/office/drawing/2014/main" pred="{947F13EE-C4D8-46ED-B8E4-001A37B6F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763607</xdr:colOff>
      <xdr:row>29</xdr:row>
      <xdr:rowOff>136647</xdr:rowOff>
    </xdr:from>
    <xdr:to>
      <xdr:col>12</xdr:col>
      <xdr:colOff>1366456</xdr:colOff>
      <xdr:row>38</xdr:row>
      <xdr:rowOff>72342</xdr:rowOff>
    </xdr:to>
    <xdr:graphicFrame macro="">
      <xdr:nvGraphicFramePr>
        <xdr:cNvPr id="2" name="Content Placeholder 5">
          <a:extLst>
            <a:ext uri="{FF2B5EF4-FFF2-40B4-BE49-F238E27FC236}">
              <a16:creationId xmlns:a16="http://schemas.microsoft.com/office/drawing/2014/main" id="{F515A41B-6F7D-4503-AC6F-A4FCA4E328C4}"/>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twoCellAnchor>
    <xdr:from>
      <xdr:col>2</xdr:col>
      <xdr:colOff>369747</xdr:colOff>
      <xdr:row>0</xdr:row>
      <xdr:rowOff>0</xdr:rowOff>
    </xdr:from>
    <xdr:to>
      <xdr:col>4</xdr:col>
      <xdr:colOff>795760</xdr:colOff>
      <xdr:row>14</xdr:row>
      <xdr:rowOff>168797</xdr:rowOff>
    </xdr:to>
    <xdr:graphicFrame macro="">
      <xdr:nvGraphicFramePr>
        <xdr:cNvPr id="17" name="Chart 1" descr="Chart type: Clustered Bar. 'Field2'&#10;&#10;Description automatically generated">
          <a:extLst>
            <a:ext uri="{FF2B5EF4-FFF2-40B4-BE49-F238E27FC236}">
              <a16:creationId xmlns:a16="http://schemas.microsoft.com/office/drawing/2014/main" id="{F83499B4-565D-46CB-A834-921199794638}"/>
            </a:ext>
            <a:ext uri="{147F2762-F138-4A5C-976F-8EAC2B608ADB}">
              <a16:predDERef xmlns:a16="http://schemas.microsoft.com/office/drawing/2014/main" pred="{CD8CDE6D-F1AD-A114-2653-D85DCBF82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369747</xdr:colOff>
      <xdr:row>14</xdr:row>
      <xdr:rowOff>152721</xdr:rowOff>
    </xdr:from>
    <xdr:to>
      <xdr:col>5</xdr:col>
      <xdr:colOff>0</xdr:colOff>
      <xdr:row>30</xdr:row>
      <xdr:rowOff>8038</xdr:rowOff>
    </xdr:to>
    <xdr:graphicFrame macro="">
      <xdr:nvGraphicFramePr>
        <xdr:cNvPr id="52" name="Chart 6">
          <a:extLst>
            <a:ext uri="{FF2B5EF4-FFF2-40B4-BE49-F238E27FC236}">
              <a16:creationId xmlns:a16="http://schemas.microsoft.com/office/drawing/2014/main" id="{947F13EE-C4D8-46ED-B8E4-001A37B6FD8A}"/>
            </a:ext>
            <a:ext uri="{147F2762-F138-4A5C-976F-8EAC2B608ADB}">
              <a16:predDERef xmlns:a16="http://schemas.microsoft.com/office/drawing/2014/main" pred="{92109779-69AD-4913-9574-E7C87CA61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570696</xdr:colOff>
      <xdr:row>29</xdr:row>
      <xdr:rowOff>24114</xdr:rowOff>
    </xdr:from>
    <xdr:to>
      <xdr:col>8</xdr:col>
      <xdr:colOff>397687</xdr:colOff>
      <xdr:row>35</xdr:row>
      <xdr:rowOff>179705</xdr:rowOff>
    </xdr:to>
    <xdr:sp macro="" textlink="">
      <xdr:nvSpPr>
        <xdr:cNvPr id="4" name="Title 1">
          <a:extLst>
            <a:ext uri="{FF2B5EF4-FFF2-40B4-BE49-F238E27FC236}">
              <a16:creationId xmlns:a16="http://schemas.microsoft.com/office/drawing/2014/main" id="{DB5D4F5F-F8D4-415F-B98F-506388489F03}"/>
            </a:ext>
          </a:extLst>
        </xdr:cNvPr>
        <xdr:cNvSpPr>
          <a:spLocks noGrp="1"/>
        </xdr:cNvSpPr>
      </xdr:nvSpPr>
      <xdr:spPr>
        <a:xfrm>
          <a:off x="3954683" y="5385443"/>
          <a:ext cx="6185029" cy="1264832"/>
        </a:xfrm>
        <a:prstGeom prst="rect">
          <a:avLst/>
        </a:prstGeom>
      </xdr:spPr>
      <xdr:txBody>
        <a:bodyPr vert="horz" wrap="square" lIns="91440" tIns="45720" rIns="91440" bIns="45720" rtlCol="0" anchor="t">
          <a:noAutofit/>
        </a:bodyPr>
        <a:lstStyle>
          <a:lvl1pPr algn="l" defTabSz="914400" rtl="0" eaLnBrk="1" latinLnBrk="0" hangingPunct="1">
            <a:lnSpc>
              <a:spcPct val="100000"/>
            </a:lnSpc>
            <a:spcBef>
              <a:spcPct val="0"/>
            </a:spcBef>
            <a:buNone/>
            <a:defRPr sz="4400" b="1" kern="1200">
              <a:solidFill>
                <a:schemeClr val="tx1"/>
              </a:solidFill>
              <a:latin typeface="+mj-lt"/>
              <a:ea typeface="+mj-ea"/>
              <a:cs typeface="+mj-cs"/>
            </a:defRPr>
          </a:lvl1pPr>
        </a:lstStyle>
        <a:p>
          <a:r>
            <a:rPr lang="en-US" sz="8000" b="1" i="0" u="none">
              <a:ln>
                <a:solidFill>
                  <a:schemeClr val="tx1"/>
                </a:solidFill>
              </a:ln>
              <a:solidFill>
                <a:schemeClr val="accent1"/>
              </a:solidFill>
              <a:latin typeface="Comic Sans MS" panose="030F0702030302020204" pitchFamily="66" charset="0"/>
            </a:rPr>
            <a:t>Solvency</a:t>
          </a:r>
        </a:p>
      </xdr:txBody>
    </xdr:sp>
    <xdr:clientData/>
  </xdr:twoCellAnchor>
  <xdr:twoCellAnchor>
    <xdr:from>
      <xdr:col>0</xdr:col>
      <xdr:colOff>0</xdr:colOff>
      <xdr:row>14</xdr:row>
      <xdr:rowOff>154458</xdr:rowOff>
    </xdr:from>
    <xdr:to>
      <xdr:col>2</xdr:col>
      <xdr:colOff>360491</xdr:colOff>
      <xdr:row>30</xdr:row>
      <xdr:rowOff>8580</xdr:rowOff>
    </xdr:to>
    <xdr:graphicFrame macro="">
      <xdr:nvGraphicFramePr>
        <xdr:cNvPr id="51" name="Chart 4">
          <a:extLst>
            <a:ext uri="{FF2B5EF4-FFF2-40B4-BE49-F238E27FC236}">
              <a16:creationId xmlns:a16="http://schemas.microsoft.com/office/drawing/2014/main" id="{032A9AAF-2FC6-49E3-A0CD-BD355EF82611}"/>
            </a:ext>
            <a:ext uri="{147F2762-F138-4A5C-976F-8EAC2B608ADB}">
              <a16:predDERef xmlns:a16="http://schemas.microsoft.com/office/drawing/2014/main" pred="{57768E86-7C27-4E3E-ABD1-0FB1F979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1029730</xdr:colOff>
      <xdr:row>23</xdr:row>
      <xdr:rowOff>68649</xdr:rowOff>
    </xdr:from>
    <xdr:to>
      <xdr:col>0</xdr:col>
      <xdr:colOff>1257837</xdr:colOff>
      <xdr:row>25</xdr:row>
      <xdr:rowOff>131825</xdr:rowOff>
    </xdr:to>
    <xdr:sp macro="" textlink="">
      <xdr:nvSpPr>
        <xdr:cNvPr id="7" name="TextBox 6">
          <a:extLst>
            <a:ext uri="{FF2B5EF4-FFF2-40B4-BE49-F238E27FC236}">
              <a16:creationId xmlns:a16="http://schemas.microsoft.com/office/drawing/2014/main" id="{4899DF62-683D-4290-ADA6-FDF83B845186}"/>
            </a:ext>
          </a:extLst>
        </xdr:cNvPr>
        <xdr:cNvSpPr txBox="1"/>
      </xdr:nvSpPr>
      <xdr:spPr>
        <a:xfrm rot="16200000">
          <a:off x="931993" y="4311048"/>
          <a:ext cx="423582"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2</xdr:col>
      <xdr:colOff>509923</xdr:colOff>
      <xdr:row>0</xdr:row>
      <xdr:rowOff>57728</xdr:rowOff>
    </xdr:from>
    <xdr:to>
      <xdr:col>3</xdr:col>
      <xdr:colOff>481060</xdr:colOff>
      <xdr:row>11</xdr:row>
      <xdr:rowOff>86592</xdr:rowOff>
    </xdr:to>
    <xdr:sp macro="" textlink="">
      <xdr:nvSpPr>
        <xdr:cNvPr id="35" name="TextBox 7">
          <a:extLst>
            <a:ext uri="{FF2B5EF4-FFF2-40B4-BE49-F238E27FC236}">
              <a16:creationId xmlns:a16="http://schemas.microsoft.com/office/drawing/2014/main" id="{5B3C3F65-9967-5229-BC95-C3DF86700937}"/>
            </a:ext>
          </a:extLst>
        </xdr:cNvPr>
        <xdr:cNvSpPr txBox="1"/>
      </xdr:nvSpPr>
      <xdr:spPr>
        <a:xfrm rot="16200000">
          <a:off x="3165378" y="788940"/>
          <a:ext cx="2039697" cy="57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2024</a:t>
          </a:r>
          <a:r>
            <a:rPr lang="en-AU" sz="900" baseline="0">
              <a:solidFill>
                <a:schemeClr val="bg1"/>
              </a:solidFill>
            </a:rPr>
            <a:t>            2023             2022</a:t>
          </a:r>
          <a:endParaRPr lang="en-AU" sz="900">
            <a:solidFill>
              <a:schemeClr val="bg1"/>
            </a:solidFill>
          </a:endParaRPr>
        </a:p>
      </xdr:txBody>
    </xdr:sp>
    <xdr:clientData/>
  </xdr:twoCellAnchor>
  <xdr:twoCellAnchor>
    <xdr:from>
      <xdr:col>0</xdr:col>
      <xdr:colOff>125078</xdr:colOff>
      <xdr:row>2</xdr:row>
      <xdr:rowOff>76970</xdr:rowOff>
    </xdr:from>
    <xdr:to>
      <xdr:col>0</xdr:col>
      <xdr:colOff>702351</xdr:colOff>
      <xdr:row>11</xdr:row>
      <xdr:rowOff>105835</xdr:rowOff>
    </xdr:to>
    <xdr:sp macro="" textlink="">
      <xdr:nvSpPr>
        <xdr:cNvPr id="27" name="TextBox 8">
          <a:extLst>
            <a:ext uri="{FF2B5EF4-FFF2-40B4-BE49-F238E27FC236}">
              <a16:creationId xmlns:a16="http://schemas.microsoft.com/office/drawing/2014/main" id="{03256829-6634-433B-B1E6-E414FC6FBE30}"/>
            </a:ext>
          </a:extLst>
        </xdr:cNvPr>
        <xdr:cNvSpPr txBox="1"/>
      </xdr:nvSpPr>
      <xdr:spPr>
        <a:xfrm rot="16200000">
          <a:off x="-423331" y="990985"/>
          <a:ext cx="1674092" cy="57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2024</a:t>
          </a:r>
          <a:r>
            <a:rPr lang="en-AU" sz="900" baseline="0">
              <a:solidFill>
                <a:schemeClr val="bg1"/>
              </a:solidFill>
            </a:rPr>
            <a:t>               2023                 2022</a:t>
          </a:r>
          <a:endParaRPr lang="en-AU" sz="900">
            <a:solidFill>
              <a:schemeClr val="bg1"/>
            </a:solidFill>
          </a:endParaRPr>
        </a:p>
      </xdr:txBody>
    </xdr:sp>
    <xdr:clientData/>
  </xdr:twoCellAnchor>
  <xdr:twoCellAnchor>
    <xdr:from>
      <xdr:col>6</xdr:col>
      <xdr:colOff>84187</xdr:colOff>
      <xdr:row>8</xdr:row>
      <xdr:rowOff>88995</xdr:rowOff>
    </xdr:from>
    <xdr:to>
      <xdr:col>6</xdr:col>
      <xdr:colOff>312294</xdr:colOff>
      <xdr:row>10</xdr:row>
      <xdr:rowOff>156982</xdr:rowOff>
    </xdr:to>
    <xdr:sp macro="" textlink="">
      <xdr:nvSpPr>
        <xdr:cNvPr id="16" name="TextBox 9">
          <a:extLst>
            <a:ext uri="{FF2B5EF4-FFF2-40B4-BE49-F238E27FC236}">
              <a16:creationId xmlns:a16="http://schemas.microsoft.com/office/drawing/2014/main" id="{66690BA0-4449-462A-B08C-AED47616AFE3}"/>
            </a:ext>
          </a:extLst>
        </xdr:cNvPr>
        <xdr:cNvSpPr txBox="1"/>
      </xdr:nvSpPr>
      <xdr:spPr>
        <a:xfrm rot="16200000">
          <a:off x="9097543" y="1697457"/>
          <a:ext cx="443214"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8</xdr:col>
      <xdr:colOff>490682</xdr:colOff>
      <xdr:row>3</xdr:row>
      <xdr:rowOff>151532</xdr:rowOff>
    </xdr:from>
    <xdr:to>
      <xdr:col>8</xdr:col>
      <xdr:colOff>770084</xdr:colOff>
      <xdr:row>8</xdr:row>
      <xdr:rowOff>152309</xdr:rowOff>
    </xdr:to>
    <xdr:sp macro="" textlink="">
      <xdr:nvSpPr>
        <xdr:cNvPr id="3" name="TextBox 2">
          <a:extLst>
            <a:ext uri="{FF2B5EF4-FFF2-40B4-BE49-F238E27FC236}">
              <a16:creationId xmlns:a16="http://schemas.microsoft.com/office/drawing/2014/main" id="{00C41066-15C9-4EA1-9B43-74D0C1B058EA}"/>
            </a:ext>
          </a:extLst>
        </xdr:cNvPr>
        <xdr:cNvSpPr txBox="1"/>
      </xdr:nvSpPr>
      <xdr:spPr>
        <a:xfrm rot="16200000">
          <a:off x="9902437" y="1044095"/>
          <a:ext cx="938845" cy="27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Benchmark</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438150</xdr:colOff>
      <xdr:row>13</xdr:row>
      <xdr:rowOff>95250</xdr:rowOff>
    </xdr:from>
    <xdr:to>
      <xdr:col>12</xdr:col>
      <xdr:colOff>428625</xdr:colOff>
      <xdr:row>13</xdr:row>
      <xdr:rowOff>104775</xdr:rowOff>
    </xdr:to>
    <xdr:cxnSp macro="">
      <xdr:nvCxnSpPr>
        <xdr:cNvPr id="17" name="Straight Connector 3">
          <a:extLst>
            <a:ext uri="{FF2B5EF4-FFF2-40B4-BE49-F238E27FC236}">
              <a16:creationId xmlns:a16="http://schemas.microsoft.com/office/drawing/2014/main" id="{D205345B-168E-5CDF-F701-C3AFCAC7AFBC}"/>
            </a:ext>
            <a:ext uri="{147F2762-F138-4A5C-976F-8EAC2B608ADB}">
              <a16:predDERef xmlns:a16="http://schemas.microsoft.com/office/drawing/2014/main" pred="{1F3F6CC7-B5A4-5F15-A083-CD6D9A77F466}"/>
            </a:ext>
          </a:extLst>
        </xdr:cNvPr>
        <xdr:cNvCxnSpPr>
          <a:cxnSpLocks/>
        </xdr:cNvCxnSpPr>
      </xdr:nvCxnSpPr>
      <xdr:spPr>
        <a:xfrm flipV="1">
          <a:off x="4095750" y="2447925"/>
          <a:ext cx="3648075" cy="9525"/>
        </a:xfrm>
        <a:prstGeom prst="line">
          <a:avLst/>
        </a:prstGeom>
        <a:ln>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12</xdr:col>
      <xdr:colOff>1182915</xdr:colOff>
      <xdr:row>14</xdr:row>
      <xdr:rowOff>184603</xdr:rowOff>
    </xdr:from>
    <xdr:to>
      <xdr:col>14</xdr:col>
      <xdr:colOff>0</xdr:colOff>
      <xdr:row>22</xdr:row>
      <xdr:rowOff>177800</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925C7FF2-5390-F970-120E-E2B6D3D6860D}"/>
                </a:ext>
                <a:ext uri="{147F2762-F138-4A5C-976F-8EAC2B608ADB}">
                  <a16:predDERef xmlns:a16="http://schemas.microsoft.com/office/drawing/2014/main" pred="{55B04086-CE21-5AA2-DFB4-2B38EEF48D3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750248" y="2792336"/>
              <a:ext cx="1043819" cy="148333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520096</xdr:colOff>
      <xdr:row>14</xdr:row>
      <xdr:rowOff>169918</xdr:rowOff>
    </xdr:from>
    <xdr:to>
      <xdr:col>12</xdr:col>
      <xdr:colOff>1173239</xdr:colOff>
      <xdr:row>28</xdr:row>
      <xdr:rowOff>8465</xdr:rowOff>
    </xdr:to>
    <xdr:graphicFrame macro="">
      <xdr:nvGraphicFramePr>
        <xdr:cNvPr id="9" name="Chart 2" descr="Chart type: Clustered Column. 'Industry Average', 'Myer' and 'Target' by 'Row Labels'&#10;&#10;Description automatically generated">
          <a:extLst>
            <a:ext uri="{FF2B5EF4-FFF2-40B4-BE49-F238E27FC236}">
              <a16:creationId xmlns:a16="http://schemas.microsoft.com/office/drawing/2014/main" id="{2CBF8528-74B3-446D-BE2A-60E5C2C51C1D}"/>
            </a:ext>
            <a:ext uri="{147F2762-F138-4A5C-976F-8EAC2B608ADB}">
              <a16:predDERef xmlns:a16="http://schemas.microsoft.com/office/drawing/2014/main" pred="{925C7FF2-5390-F970-120E-E2B6D3D68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24382</xdr:colOff>
      <xdr:row>26</xdr:row>
      <xdr:rowOff>131818</xdr:rowOff>
    </xdr:from>
    <xdr:to>
      <xdr:col>18</xdr:col>
      <xdr:colOff>1035175</xdr:colOff>
      <xdr:row>34</xdr:row>
      <xdr:rowOff>135853</xdr:rowOff>
    </xdr:to>
    <xdr:sp macro="" textlink="">
      <xdr:nvSpPr>
        <xdr:cNvPr id="2" name="Title 1">
          <a:extLst>
            <a:ext uri="{FF2B5EF4-FFF2-40B4-BE49-F238E27FC236}">
              <a16:creationId xmlns:a16="http://schemas.microsoft.com/office/drawing/2014/main" id="{ACAEC95F-34EE-471E-91F4-B3D90AD6BE25}"/>
            </a:ext>
          </a:extLst>
        </xdr:cNvPr>
        <xdr:cNvSpPr>
          <a:spLocks noGrp="1"/>
        </xdr:cNvSpPr>
      </xdr:nvSpPr>
      <xdr:spPr>
        <a:xfrm>
          <a:off x="2538982" y="4974751"/>
          <a:ext cx="14642126" cy="1494169"/>
        </a:xfrm>
        <a:prstGeom prst="rect">
          <a:avLst/>
        </a:prstGeom>
      </xdr:spPr>
      <xdr:txBody>
        <a:bodyPr vert="horz" wrap="square" lIns="91440" tIns="45720" rIns="91440" bIns="45720" rtlCol="0" anchor="t">
          <a:noAutofit/>
        </a:bodyPr>
        <a:lstStyle>
          <a:lvl1pPr algn="l" defTabSz="914400" rtl="0" eaLnBrk="1" latinLnBrk="0" hangingPunct="1">
            <a:lnSpc>
              <a:spcPct val="100000"/>
            </a:lnSpc>
            <a:spcBef>
              <a:spcPct val="0"/>
            </a:spcBef>
            <a:buNone/>
            <a:defRPr sz="4400" b="1" kern="1200">
              <a:solidFill>
                <a:schemeClr val="tx1"/>
              </a:solidFill>
              <a:latin typeface="+mj-lt"/>
              <a:ea typeface="+mj-ea"/>
              <a:cs typeface="+mj-cs"/>
            </a:defRPr>
          </a:lvl1pPr>
        </a:lstStyle>
        <a:p>
          <a:r>
            <a:rPr lang="en-US" sz="8000" b="1" i="0" u="none">
              <a:ln>
                <a:solidFill>
                  <a:schemeClr val="tx1"/>
                </a:solidFill>
              </a:ln>
              <a:solidFill>
                <a:schemeClr val="accent1"/>
              </a:solidFill>
              <a:latin typeface="Comic Sans MS" panose="030F0702030302020204" pitchFamily="66" charset="0"/>
            </a:rPr>
            <a:t>Market-Based Performance</a:t>
          </a:r>
        </a:p>
      </xdr:txBody>
    </xdr:sp>
    <xdr:clientData/>
  </xdr:twoCellAnchor>
  <xdr:twoCellAnchor>
    <xdr:from>
      <xdr:col>12</xdr:col>
      <xdr:colOff>1275899</xdr:colOff>
      <xdr:row>22</xdr:row>
      <xdr:rowOff>94393</xdr:rowOff>
    </xdr:from>
    <xdr:to>
      <xdr:col>18</xdr:col>
      <xdr:colOff>193704</xdr:colOff>
      <xdr:row>30</xdr:row>
      <xdr:rowOff>169396</xdr:rowOff>
    </xdr:to>
    <xdr:graphicFrame macro="">
      <xdr:nvGraphicFramePr>
        <xdr:cNvPr id="3" name="Content Placeholder 5">
          <a:extLst>
            <a:ext uri="{FF2B5EF4-FFF2-40B4-BE49-F238E27FC236}">
              <a16:creationId xmlns:a16="http://schemas.microsoft.com/office/drawing/2014/main" id="{2B1FC9DB-96A6-4996-9B72-6121DA289203}"/>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0</xdr:col>
      <xdr:colOff>19052</xdr:colOff>
      <xdr:row>0</xdr:row>
      <xdr:rowOff>9525</xdr:rowOff>
    </xdr:from>
    <xdr:to>
      <xdr:col>14</xdr:col>
      <xdr:colOff>0</xdr:colOff>
      <xdr:row>3</xdr:row>
      <xdr:rowOff>0</xdr:rowOff>
    </xdr:to>
    <xdr:sp macro="" textlink="">
      <xdr:nvSpPr>
        <xdr:cNvPr id="7" name="TextBox 4">
          <a:extLst>
            <a:ext uri="{FF2B5EF4-FFF2-40B4-BE49-F238E27FC236}">
              <a16:creationId xmlns:a16="http://schemas.microsoft.com/office/drawing/2014/main" id="{4B5FD37A-F5FA-6CDF-DCAC-56B2049E4365}"/>
            </a:ext>
            <a:ext uri="{147F2762-F138-4A5C-976F-8EAC2B608ADB}">
              <a16:predDERef xmlns:a16="http://schemas.microsoft.com/office/drawing/2014/main" pred="{EFC39734-3B03-91A9-33C8-87FFC2335A4E}"/>
            </a:ext>
          </a:extLst>
        </xdr:cNvPr>
        <xdr:cNvSpPr txBox="1"/>
      </xdr:nvSpPr>
      <xdr:spPr>
        <a:xfrm>
          <a:off x="19052" y="9525"/>
          <a:ext cx="12528078" cy="554919"/>
        </a:xfrm>
        <a:prstGeom prst="rect">
          <a:avLst/>
        </a:prstGeom>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400" b="0" i="0" u="none" strike="noStrike">
              <a:solidFill>
                <a:srgbClr val="000000"/>
              </a:solidFill>
              <a:latin typeface="Aptos Narrow" panose="020B0004020202020204" pitchFamily="34" charset="0"/>
            </a:rPr>
            <a:t>Trends in Market Performance (MYR + B&amp;L)</a:t>
          </a:r>
        </a:p>
      </xdr:txBody>
    </xdr:sp>
    <xdr:clientData/>
  </xdr:twoCellAnchor>
  <xdr:twoCellAnchor editAs="oneCell">
    <xdr:from>
      <xdr:col>16</xdr:col>
      <xdr:colOff>0</xdr:colOff>
      <xdr:row>0</xdr:row>
      <xdr:rowOff>0</xdr:rowOff>
    </xdr:from>
    <xdr:to>
      <xdr:col>18</xdr:col>
      <xdr:colOff>216285</xdr:colOff>
      <xdr:row>6</xdr:row>
      <xdr:rowOff>101536</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810F7C10-0CAA-401C-B7DA-B5003F232C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325600" y="0"/>
              <a:ext cx="2036618" cy="121913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177802</xdr:rowOff>
    </xdr:from>
    <xdr:to>
      <xdr:col>4</xdr:col>
      <xdr:colOff>508000</xdr:colOff>
      <xdr:row>15</xdr:row>
      <xdr:rowOff>0</xdr:rowOff>
    </xdr:to>
    <xdr:graphicFrame macro="">
      <xdr:nvGraphicFramePr>
        <xdr:cNvPr id="11" name="Chart 19" descr="Chart type: Line. 'Field2' by 'Field1'&#10;&#10;Description automatically generated">
          <a:extLst>
            <a:ext uri="{FF2B5EF4-FFF2-40B4-BE49-F238E27FC236}">
              <a16:creationId xmlns:a16="http://schemas.microsoft.com/office/drawing/2014/main" id="{956718E3-980A-4AE9-A7B2-0782E6661B46}"/>
            </a:ext>
            <a:ext uri="{147F2762-F138-4A5C-976F-8EAC2B608ADB}">
              <a16:predDERef xmlns:a16="http://schemas.microsoft.com/office/drawing/2014/main" pred="{65C511E3-9B02-457F-ACF2-CC589FA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33867</xdr:colOff>
      <xdr:row>2</xdr:row>
      <xdr:rowOff>169335</xdr:rowOff>
    </xdr:from>
    <xdr:to>
      <xdr:col>14</xdr:col>
      <xdr:colOff>8466</xdr:colOff>
      <xdr:row>14</xdr:row>
      <xdr:rowOff>177800</xdr:rowOff>
    </xdr:to>
    <xdr:graphicFrame macro="">
      <xdr:nvGraphicFramePr>
        <xdr:cNvPr id="12" name="Chart 19" descr="Chart type: Line. 'Field2' by 'Field1'&#10;&#10;Description automatically generated">
          <a:extLst>
            <a:ext uri="{FF2B5EF4-FFF2-40B4-BE49-F238E27FC236}">
              <a16:creationId xmlns:a16="http://schemas.microsoft.com/office/drawing/2014/main" id="{DAB1FBDE-7EF7-4910-B00A-6C4BED83D0CF}"/>
            </a:ext>
            <a:ext uri="{147F2762-F138-4A5C-976F-8EAC2B608ADB}">
              <a16:predDERef xmlns:a16="http://schemas.microsoft.com/office/drawing/2014/main" pred="{65C511E3-9B02-457F-ACF2-CC589FA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516467</xdr:colOff>
      <xdr:row>2</xdr:row>
      <xdr:rowOff>169334</xdr:rowOff>
    </xdr:from>
    <xdr:to>
      <xdr:col>9</xdr:col>
      <xdr:colOff>59266</xdr:colOff>
      <xdr:row>14</xdr:row>
      <xdr:rowOff>177800</xdr:rowOff>
    </xdr:to>
    <xdr:graphicFrame macro="">
      <xdr:nvGraphicFramePr>
        <xdr:cNvPr id="13" name="Chart 19" descr="Chart type: Line. 'Field2' by 'Field1'&#10;&#10;Description automatically generated">
          <a:extLst>
            <a:ext uri="{FF2B5EF4-FFF2-40B4-BE49-F238E27FC236}">
              <a16:creationId xmlns:a16="http://schemas.microsoft.com/office/drawing/2014/main" id="{FDC74262-0A79-41B4-8602-F278D52E25F9}"/>
            </a:ext>
            <a:ext uri="{147F2762-F138-4A5C-976F-8EAC2B608ADB}">
              <a16:predDERef xmlns:a16="http://schemas.microsoft.com/office/drawing/2014/main" pred="{65C511E3-9B02-457F-ACF2-CC589FA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956733</xdr:colOff>
      <xdr:row>7</xdr:row>
      <xdr:rowOff>-1</xdr:rowOff>
    </xdr:from>
    <xdr:to>
      <xdr:col>0</xdr:col>
      <xdr:colOff>1184840</xdr:colOff>
      <xdr:row>9</xdr:row>
      <xdr:rowOff>62690</xdr:rowOff>
    </xdr:to>
    <xdr:sp macro="" textlink="">
      <xdr:nvSpPr>
        <xdr:cNvPr id="14" name="TextBox 13">
          <a:extLst>
            <a:ext uri="{FF2B5EF4-FFF2-40B4-BE49-F238E27FC236}">
              <a16:creationId xmlns:a16="http://schemas.microsoft.com/office/drawing/2014/main" id="{D68BE7FB-0C28-4C8D-91F5-C8ECBBC21979}"/>
            </a:ext>
          </a:extLst>
        </xdr:cNvPr>
        <xdr:cNvSpPr txBox="1"/>
      </xdr:nvSpPr>
      <xdr:spPr>
        <a:xfrm rot="16200000">
          <a:off x="853175" y="1407424"/>
          <a:ext cx="435224"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5</xdr:col>
      <xdr:colOff>220133</xdr:colOff>
      <xdr:row>6</xdr:row>
      <xdr:rowOff>169332</xdr:rowOff>
    </xdr:from>
    <xdr:to>
      <xdr:col>5</xdr:col>
      <xdr:colOff>448240</xdr:colOff>
      <xdr:row>9</xdr:row>
      <xdr:rowOff>45756</xdr:rowOff>
    </xdr:to>
    <xdr:sp macro="" textlink="">
      <xdr:nvSpPr>
        <xdr:cNvPr id="15" name="TextBox 14">
          <a:extLst>
            <a:ext uri="{FF2B5EF4-FFF2-40B4-BE49-F238E27FC236}">
              <a16:creationId xmlns:a16="http://schemas.microsoft.com/office/drawing/2014/main" id="{23CE0495-766C-45E3-A519-5A343D64ECC0}"/>
            </a:ext>
          </a:extLst>
        </xdr:cNvPr>
        <xdr:cNvSpPr txBox="1"/>
      </xdr:nvSpPr>
      <xdr:spPr>
        <a:xfrm rot="16200000">
          <a:off x="4832508" y="1390490"/>
          <a:ext cx="435224"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10</xdr:col>
      <xdr:colOff>296333</xdr:colOff>
      <xdr:row>9</xdr:row>
      <xdr:rowOff>59266</xdr:rowOff>
    </xdr:from>
    <xdr:to>
      <xdr:col>10</xdr:col>
      <xdr:colOff>524440</xdr:colOff>
      <xdr:row>11</xdr:row>
      <xdr:rowOff>121957</xdr:rowOff>
    </xdr:to>
    <xdr:sp macro="" textlink="">
      <xdr:nvSpPr>
        <xdr:cNvPr id="16" name="TextBox 15">
          <a:extLst>
            <a:ext uri="{FF2B5EF4-FFF2-40B4-BE49-F238E27FC236}">
              <a16:creationId xmlns:a16="http://schemas.microsoft.com/office/drawing/2014/main" id="{8452013A-A04D-4B4C-AB29-72B4939E13EC}"/>
            </a:ext>
          </a:extLst>
        </xdr:cNvPr>
        <xdr:cNvSpPr txBox="1"/>
      </xdr:nvSpPr>
      <xdr:spPr>
        <a:xfrm rot="16200000">
          <a:off x="8735642" y="1839224"/>
          <a:ext cx="435224" cy="22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ysClr val="windowText" lastClr="000000"/>
              </a:solidFill>
            </a:rPr>
            <a:t>B&amp;L</a:t>
          </a:r>
        </a:p>
      </xdr:txBody>
    </xdr:sp>
    <xdr:clientData/>
  </xdr:twoCellAnchor>
  <xdr:twoCellAnchor>
    <xdr:from>
      <xdr:col>0</xdr:col>
      <xdr:colOff>0</xdr:colOff>
      <xdr:row>14</xdr:row>
      <xdr:rowOff>177801</xdr:rowOff>
    </xdr:from>
    <xdr:to>
      <xdr:col>4</xdr:col>
      <xdr:colOff>508000</xdr:colOff>
      <xdr:row>28</xdr:row>
      <xdr:rowOff>8466</xdr:rowOff>
    </xdr:to>
    <xdr:graphicFrame macro="">
      <xdr:nvGraphicFramePr>
        <xdr:cNvPr id="18" name="Chart 19" descr="Chart type: Line. 'Field2' by 'Field1'&#10;&#10;Description automatically generated">
          <a:extLst>
            <a:ext uri="{FF2B5EF4-FFF2-40B4-BE49-F238E27FC236}">
              <a16:creationId xmlns:a16="http://schemas.microsoft.com/office/drawing/2014/main" id="{40DBD125-E592-4B29-BBDA-A085C1FA7513}"/>
            </a:ext>
            <a:ext uri="{147F2762-F138-4A5C-976F-8EAC2B608ADB}">
              <a16:predDERef xmlns:a16="http://schemas.microsoft.com/office/drawing/2014/main" pred="{65C511E3-9B02-457F-ACF2-CC589FA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6T23:03:26.980"/>
    </inkml:context>
    <inkml:brush xml:id="br0">
      <inkml:brushProperty name="width" value="0.035" units="cm"/>
      <inkml:brushProperty name="height" value="0.035" units="cm"/>
      <inkml:brushProperty name="color" value="#F6630D"/>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6T23:08:02.644"/>
    </inkml:context>
    <inkml:brush xml:id="br0">
      <inkml:brushProperty name="width" value="0.05" units="cm"/>
      <inkml:brushProperty name="height" value="0.05" units="cm"/>
      <inkml:brushProperty name="color" value="#FFFFFF"/>
    </inkml:brush>
  </inkml:definitions>
  <inkml:trace contextRef="#ctx0" brushRef="#br0">1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7T08:11:40.283"/>
    </inkml:context>
    <inkml:brush xml:id="br0">
      <inkml:brushProperty name="width" value="0.035" units="cm"/>
      <inkml:brushProperty name="height" value="0.035" units="cm"/>
      <inkml:brushProperty name="color" value="#F6630D"/>
    </inkml:brush>
  </inkml:definitions>
  <inkml:trace contextRef="#ctx0" brushRef="#br0">1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te Papas" refreshedDate="45937.39403171296" createdVersion="8" refreshedVersion="8" minRefreshableVersion="3" recordCount="24" xr:uid="{29527B7B-CC70-40DB-B24D-EB568BF76807}">
  <cacheSource type="worksheet">
    <worksheetSource name="Table2"/>
  </cacheSource>
  <cacheFields count="3">
    <cacheField name="Liquidity Ratios: " numFmtId="0">
      <sharedItems count="12">
        <s v="Current Ratio"/>
        <s v="Current Ratio (B&amp;L)"/>
        <s v="Quick Ratio"/>
        <s v="Quick Asset Ratio (B&amp;L)"/>
        <s v="Cash flow liquidity ratio"/>
        <s v="Cash Flow Liquidity Ratio (B&amp;L)"/>
        <s v="Days Inventory"/>
        <s v="Days Inventory (B&amp;L)"/>
        <s v="Days Receivables"/>
        <s v="Days Receivables (B&amp;L)"/>
        <s v="Days Payables"/>
        <s v="Days Payables (B&amp;L)"/>
      </sharedItems>
    </cacheField>
    <cacheField name="Year" numFmtId="0">
      <sharedItems containsSemiMixedTypes="0" containsString="0" containsNumber="1" containsInteger="1" minValue="2022" maxValue="2024" count="3">
        <n v="2024"/>
        <n v="2023"/>
        <n v="2022"/>
      </sharedItems>
    </cacheField>
    <cacheField name="Ratio" numFmtId="0">
      <sharedItems containsSemiMixedTypes="0" containsString="0" containsNumber="1" minValue="0.18567346158111547" maxValue="99.725207563857424"/>
    </cacheField>
  </cacheFields>
  <extLst>
    <ext xmlns:x14="http://schemas.microsoft.com/office/spreadsheetml/2009/9/main" uri="{725AE2AE-9491-48be-B2B4-4EB974FC3084}">
      <x14:pivotCacheDefinition pivotCacheId="6722188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8.387773842594" createdVersion="8" refreshedVersion="8" minRefreshableVersion="3" recordCount="4" xr:uid="{CF6A2EB7-AE1E-4E0C-9BAC-E317CE053EF0}">
  <cacheSource type="worksheet">
    <worksheetSource ref="A81:F85" sheet="Market-Based Performance"/>
  </cacheSource>
  <cacheFields count="6">
    <cacheField name="Row Labels" numFmtId="0">
      <sharedItems containsMixedTypes="1" containsNumber="1" containsInteger="1" minValue="2022" maxValue="2024" count="4">
        <n v="2022"/>
        <n v="2023"/>
        <n v="2024"/>
        <s v="Grand Total"/>
      </sharedItems>
    </cacheField>
    <cacheField name="Best and Less" numFmtId="0">
      <sharedItems containsString="0" containsBlank="1" containsNumber="1" minValue="0.41" maxValue="0.41"/>
    </cacheField>
    <cacheField name="Industry Average" numFmtId="10">
      <sharedItems containsSemiMixedTypes="0" containsString="0" containsNumber="1" minValue="0.58209999999999995" maxValue="1.8138000000000001" count="4">
        <n v="0.58209999999999995"/>
        <n v="0.60170000000000001"/>
        <n v="0.63"/>
        <n v="1.8138000000000001"/>
      </sharedItems>
    </cacheField>
    <cacheField name="Myer" numFmtId="10">
      <sharedItems containsSemiMixedTypes="0" containsString="0" containsNumber="1" minValue="0.66669999999999996" maxValue="2.556" count="4">
        <n v="0.66669999999999996"/>
        <n v="1.2161999999999999"/>
        <n v="0.67310000000000003"/>
        <n v="2.556"/>
      </sharedItems>
    </cacheField>
    <cacheField name="Target" numFmtId="10">
      <sharedItems containsSemiMixedTypes="0" containsString="0" containsNumber="1" minValue="0.46870000000000001" maxValue="1.538" count="4">
        <n v="0.51639999999999997"/>
        <n v="0.55289999999999995"/>
        <n v="0.46870000000000001"/>
        <n v="1.538"/>
      </sharedItems>
    </cacheField>
    <cacheField name="Grand Total" numFmtId="10">
      <sharedItems containsSemiMixedTypes="0" containsString="0" containsNumber="1" minValue="1.7718" maxValue="6.3178000000000001"/>
    </cacheField>
  </cacheFields>
  <extLst>
    <ext xmlns:x14="http://schemas.microsoft.com/office/spreadsheetml/2009/9/main" uri="{725AE2AE-9491-48be-B2B4-4EB974FC3084}">
      <x14:pivotCacheDefinition pivotCacheId="5868378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te Papas" refreshedDate="45940.674893402778" createdVersion="8" refreshedVersion="8" minRefreshableVersion="3" recordCount="20" xr:uid="{F5072E77-A7BE-42F7-A5D8-E17FA4FA9E87}">
  <cacheSource type="worksheet">
    <worksheetSource name="Table7"/>
  </cacheSource>
  <cacheFields count="3">
    <cacheField name="Market-based performance" numFmtId="0">
      <sharedItems count="10">
        <s v="Basic EPS (cents)"/>
        <s v="Basic EPS (cents) (B&amp;L)"/>
        <s v="Share Price"/>
        <s v="Share Price (B&amp;L)"/>
        <s v="Dividend Payout"/>
        <s v="Dividend Payout (B&amp;L)"/>
        <s v="P/E ratio"/>
        <s v="P/E ratio (B&amp;L)"/>
        <s v="Dividend yield"/>
        <s v="Dividend yield (B&amp;L)"/>
      </sharedItems>
    </cacheField>
    <cacheField name="Year" numFmtId="0">
      <sharedItems containsSemiMixedTypes="0" containsString="0" containsNumber="1" containsInteger="1" minValue="2022" maxValue="2024" count="3">
        <n v="2024"/>
        <n v="2023"/>
        <n v="2022"/>
      </sharedItems>
    </cacheField>
    <cacheField name="Ratio" numFmtId="0">
      <sharedItems containsSemiMixedTypes="0" containsString="0" containsNumber="1" minValue="4.2700000000000002E-2" maxValue="29.2" count="20">
        <n v="5.2"/>
        <n v="7.4"/>
        <n v="6"/>
        <n v="29.2"/>
        <n v="0.82"/>
        <n v="0.65"/>
        <n v="0.47"/>
        <n v="2.21"/>
        <n v="0.67310000000000003"/>
        <n v="1.2161999999999999"/>
        <n v="0.66669999999999996"/>
        <n v="0.41099999999999998"/>
        <n v="15.77"/>
        <n v="8.7799999999999994"/>
        <n v="7.83"/>
        <n v="7.57"/>
        <n v="4.2700000000000002E-2"/>
        <n v="0.13850000000000001"/>
        <n v="8.5099999999999995E-2"/>
        <n v="5.4300000000000001E-2"/>
      </sharedItems>
    </cacheField>
  </cacheFields>
  <extLst>
    <ext xmlns:x14="http://schemas.microsoft.com/office/spreadsheetml/2009/9/main" uri="{725AE2AE-9491-48be-B2B4-4EB974FC3084}">
      <x14:pivotCacheDefinition pivotCacheId="864420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0.9"/>
  </r>
  <r>
    <x v="0"/>
    <x v="1"/>
    <n v="0.91"/>
  </r>
  <r>
    <x v="0"/>
    <x v="2"/>
    <n v="0.97"/>
  </r>
  <r>
    <x v="1"/>
    <x v="2"/>
    <n v="1.0976548341572132"/>
  </r>
  <r>
    <x v="2"/>
    <x v="0"/>
    <n v="0.32"/>
  </r>
  <r>
    <x v="2"/>
    <x v="1"/>
    <n v="0.32100000000000001"/>
  </r>
  <r>
    <x v="2"/>
    <x v="2"/>
    <n v="0.41"/>
  </r>
  <r>
    <x v="3"/>
    <x v="2"/>
    <n v="0.3433535640197114"/>
  </r>
  <r>
    <x v="4"/>
    <x v="0"/>
    <n v="0.27"/>
  </r>
  <r>
    <x v="4"/>
    <x v="1"/>
    <n v="0.28000000000000003"/>
  </r>
  <r>
    <x v="4"/>
    <x v="2"/>
    <n v="0.37"/>
  </r>
  <r>
    <x v="5"/>
    <x v="2"/>
    <n v="0.28301624881430698"/>
  </r>
  <r>
    <x v="6"/>
    <x v="0"/>
    <n v="93.11"/>
  </r>
  <r>
    <x v="6"/>
    <x v="1"/>
    <n v="88.19"/>
  </r>
  <r>
    <x v="6"/>
    <x v="2"/>
    <n v="91.01"/>
  </r>
  <r>
    <x v="7"/>
    <x v="2"/>
    <n v="99.725207563857424"/>
  </r>
  <r>
    <x v="8"/>
    <x v="0"/>
    <n v="1.2"/>
  </r>
  <r>
    <x v="8"/>
    <x v="1"/>
    <n v="1.28"/>
  </r>
  <r>
    <x v="8"/>
    <x v="2"/>
    <n v="1.42"/>
  </r>
  <r>
    <x v="9"/>
    <x v="2"/>
    <n v="0.18567346158111547"/>
  </r>
  <r>
    <x v="10"/>
    <x v="0"/>
    <n v="48.27"/>
  </r>
  <r>
    <x v="10"/>
    <x v="1"/>
    <n v="45.49"/>
  </r>
  <r>
    <x v="10"/>
    <x v="2"/>
    <n v="48.47"/>
  </r>
  <r>
    <x v="11"/>
    <x v="2"/>
    <n v="35.0011522674755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41"/>
    <x v="0"/>
    <x v="0"/>
    <x v="0"/>
    <n v="2.1751999999999998"/>
  </r>
  <r>
    <x v="1"/>
    <m/>
    <x v="1"/>
    <x v="1"/>
    <x v="1"/>
    <n v="2.3708"/>
  </r>
  <r>
    <x v="2"/>
    <m/>
    <x v="2"/>
    <x v="2"/>
    <x v="2"/>
    <n v="1.7718"/>
  </r>
  <r>
    <x v="3"/>
    <n v="0.41"/>
    <x v="3"/>
    <x v="3"/>
    <x v="3"/>
    <n v="6.31780000000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r>
  <r>
    <x v="0"/>
    <x v="1"/>
    <x v="1"/>
  </r>
  <r>
    <x v="0"/>
    <x v="2"/>
    <x v="2"/>
  </r>
  <r>
    <x v="1"/>
    <x v="2"/>
    <x v="3"/>
  </r>
  <r>
    <x v="2"/>
    <x v="0"/>
    <x v="4"/>
  </r>
  <r>
    <x v="2"/>
    <x v="1"/>
    <x v="5"/>
  </r>
  <r>
    <x v="2"/>
    <x v="2"/>
    <x v="6"/>
  </r>
  <r>
    <x v="3"/>
    <x v="2"/>
    <x v="7"/>
  </r>
  <r>
    <x v="4"/>
    <x v="0"/>
    <x v="8"/>
  </r>
  <r>
    <x v="4"/>
    <x v="1"/>
    <x v="9"/>
  </r>
  <r>
    <x v="4"/>
    <x v="2"/>
    <x v="10"/>
  </r>
  <r>
    <x v="5"/>
    <x v="2"/>
    <x v="11"/>
  </r>
  <r>
    <x v="6"/>
    <x v="0"/>
    <x v="12"/>
  </r>
  <r>
    <x v="6"/>
    <x v="1"/>
    <x v="13"/>
  </r>
  <r>
    <x v="6"/>
    <x v="2"/>
    <x v="14"/>
  </r>
  <r>
    <x v="7"/>
    <x v="2"/>
    <x v="15"/>
  </r>
  <r>
    <x v="8"/>
    <x v="0"/>
    <x v="16"/>
  </r>
  <r>
    <x v="8"/>
    <x v="1"/>
    <x v="17"/>
  </r>
  <r>
    <x v="8"/>
    <x v="2"/>
    <x v="18"/>
  </r>
  <r>
    <x v="9"/>
    <x v="2"/>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25A4C-605B-4680-B35B-74850374F680}" name="PivotTable3" cacheId="4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Liquidity Ratios">
  <location ref="Q8:R20" firstHeaderRow="1" firstDataRow="1" firstDataCol="1"/>
  <pivotFields count="3">
    <pivotField axis="axisRow" showAll="0">
      <items count="13">
        <item sd="0" x="2"/>
        <item sd="0" x="3"/>
        <item sd="0" x="9"/>
        <item sd="0" x="8"/>
        <item sd="0" x="11"/>
        <item sd="0" x="10"/>
        <item sd="0" x="7"/>
        <item sd="0" x="6"/>
        <item sd="0" x="1"/>
        <item sd="0" x="0"/>
        <item sd="0" x="5"/>
        <item sd="0" x="4"/>
        <item t="default" sd="0"/>
      </items>
    </pivotField>
    <pivotField axis="axisRow" showAll="0">
      <items count="4">
        <item x="2"/>
        <item x="1"/>
        <item x="0"/>
        <item t="default"/>
      </items>
    </pivotField>
    <pivotField dataField="1" showAll="0"/>
  </pivotFields>
  <rowFields count="2">
    <field x="0"/>
    <field x="1"/>
  </rowFields>
  <rowItems count="12">
    <i>
      <x/>
    </i>
    <i>
      <x v="1"/>
    </i>
    <i>
      <x v="2"/>
    </i>
    <i>
      <x v="3"/>
    </i>
    <i>
      <x v="4"/>
    </i>
    <i>
      <x v="5"/>
    </i>
    <i>
      <x v="6"/>
    </i>
    <i>
      <x v="7"/>
    </i>
    <i>
      <x v="8"/>
    </i>
    <i>
      <x v="9"/>
    </i>
    <i>
      <x v="10"/>
    </i>
    <i>
      <x v="11"/>
    </i>
  </rowItems>
  <colItems count="1">
    <i/>
  </colItems>
  <dataFields count="1">
    <dataField name="Ratio Values" fld="2" subtotal="average" baseField="0" baseItem="0" numFmtId="2"/>
  </dataFields>
  <formats count="34">
    <format dxfId="27">
      <pivotArea field="0" type="button" dataOnly="0" labelOnly="1" outline="0" axis="axisRow" fieldPosition="0"/>
    </format>
    <format dxfId="28">
      <pivotArea field="0" type="button" dataOnly="0" labelOnly="1" outline="0" axis="axisRow" fieldPosition="0"/>
    </format>
    <format dxfId="29">
      <pivotArea dataOnly="0" labelOnly="1" fieldPosition="0">
        <references count="1">
          <reference field="0" count="1">
            <x v="9"/>
          </reference>
        </references>
      </pivotArea>
    </format>
    <format dxfId="30">
      <pivotArea dataOnly="0" labelOnly="1" fieldPosition="0">
        <references count="1">
          <reference field="0" count="1">
            <x v="0"/>
          </reference>
        </references>
      </pivotArea>
    </format>
    <format dxfId="31">
      <pivotArea dataOnly="0" labelOnly="1" fieldPosition="0">
        <references count="1">
          <reference field="0" count="1">
            <x v="11"/>
          </reference>
        </references>
      </pivotArea>
    </format>
    <format dxfId="32">
      <pivotArea dataOnly="0" labelOnly="1" fieldPosition="0">
        <references count="1">
          <reference field="0" count="1">
            <x v="7"/>
          </reference>
        </references>
      </pivotArea>
    </format>
    <format dxfId="33">
      <pivotArea dataOnly="0" labelOnly="1" fieldPosition="0">
        <references count="1">
          <reference field="0" count="1">
            <x v="3"/>
          </reference>
        </references>
      </pivotArea>
    </format>
    <format dxfId="34">
      <pivotArea dataOnly="0" labelOnly="1" fieldPosition="0">
        <references count="1">
          <reference field="0" count="1">
            <x v="5"/>
          </reference>
        </references>
      </pivotArea>
    </format>
    <format dxfId="35">
      <pivotArea dataOnly="0" labelOnly="1" fieldPosition="0">
        <references count="1">
          <reference field="0" count="1">
            <x v="8"/>
          </reference>
        </references>
      </pivotArea>
    </format>
    <format dxfId="36">
      <pivotArea dataOnly="0" labelOnly="1" fieldPosition="0">
        <references count="1">
          <reference field="0" count="1">
            <x v="1"/>
          </reference>
        </references>
      </pivotArea>
    </format>
    <format dxfId="37">
      <pivotArea dataOnly="0" labelOnly="1" fieldPosition="0">
        <references count="1">
          <reference field="0" count="1">
            <x v="10"/>
          </reference>
        </references>
      </pivotArea>
    </format>
    <format dxfId="38">
      <pivotArea dataOnly="0" labelOnly="1" fieldPosition="0">
        <references count="1">
          <reference field="0" count="1">
            <x v="6"/>
          </reference>
        </references>
      </pivotArea>
    </format>
    <format dxfId="39">
      <pivotArea dataOnly="0" labelOnly="1" fieldPosition="0">
        <references count="1">
          <reference field="0" count="1">
            <x v="2"/>
          </reference>
        </references>
      </pivotArea>
    </format>
    <format dxfId="40">
      <pivotArea dataOnly="0" labelOnly="1" fieldPosition="0">
        <references count="1">
          <reference field="0" count="1">
            <x v="4"/>
          </reference>
        </references>
      </pivotArea>
    </format>
    <format dxfId="41">
      <pivotArea collapsedLevelsAreSubtotals="1" fieldPosition="0">
        <references count="1">
          <reference field="0" count="1">
            <x v="8"/>
          </reference>
        </references>
      </pivotArea>
    </format>
    <format dxfId="42">
      <pivotArea collapsedLevelsAreSubtotals="1" fieldPosition="0">
        <references count="1">
          <reference field="0" count="1">
            <x v="1"/>
          </reference>
        </references>
      </pivotArea>
    </format>
    <format dxfId="43">
      <pivotArea collapsedLevelsAreSubtotals="1" fieldPosition="0">
        <references count="1">
          <reference field="0" count="1">
            <x v="10"/>
          </reference>
        </references>
      </pivotArea>
    </format>
    <format dxfId="44">
      <pivotArea collapsedLevelsAreSubtotals="1" fieldPosition="0">
        <references count="1">
          <reference field="0" count="1">
            <x v="6"/>
          </reference>
        </references>
      </pivotArea>
    </format>
    <format dxfId="45">
      <pivotArea collapsedLevelsAreSubtotals="1" fieldPosition="0">
        <references count="1">
          <reference field="0" count="1">
            <x v="2"/>
          </reference>
        </references>
      </pivotArea>
    </format>
    <format dxfId="46">
      <pivotArea collapsedLevelsAreSubtotals="1" fieldPosition="0">
        <references count="1">
          <reference field="0" count="1">
            <x v="4"/>
          </reference>
        </references>
      </pivotArea>
    </format>
    <format dxfId="47">
      <pivotArea collapsedLevelsAreSubtotals="1" fieldPosition="0">
        <references count="1">
          <reference field="0" count="1">
            <x v="5"/>
          </reference>
        </references>
      </pivotArea>
    </format>
    <format dxfId="48">
      <pivotArea dataOnly="0" labelOnly="1" fieldPosition="0">
        <references count="1">
          <reference field="0" count="1">
            <x v="5"/>
          </reference>
        </references>
      </pivotArea>
    </format>
    <format dxfId="49">
      <pivotArea collapsedLevelsAreSubtotals="1" fieldPosition="0">
        <references count="1">
          <reference field="0" count="1">
            <x v="3"/>
          </reference>
        </references>
      </pivotArea>
    </format>
    <format dxfId="50">
      <pivotArea dataOnly="0" labelOnly="1" fieldPosition="0">
        <references count="1">
          <reference field="0" count="1">
            <x v="3"/>
          </reference>
        </references>
      </pivotArea>
    </format>
    <format dxfId="51">
      <pivotArea collapsedLevelsAreSubtotals="1" fieldPosition="0">
        <references count="1">
          <reference field="0" count="1">
            <x v="7"/>
          </reference>
        </references>
      </pivotArea>
    </format>
    <format dxfId="52">
      <pivotArea dataOnly="0" labelOnly="1" fieldPosition="0">
        <references count="1">
          <reference field="0" count="1">
            <x v="7"/>
          </reference>
        </references>
      </pivotArea>
    </format>
    <format dxfId="53">
      <pivotArea collapsedLevelsAreSubtotals="1" fieldPosition="0">
        <references count="1">
          <reference field="0" count="1">
            <x v="11"/>
          </reference>
        </references>
      </pivotArea>
    </format>
    <format dxfId="54">
      <pivotArea dataOnly="0" labelOnly="1" fieldPosition="0">
        <references count="1">
          <reference field="0" count="1">
            <x v="11"/>
          </reference>
        </references>
      </pivotArea>
    </format>
    <format dxfId="55">
      <pivotArea collapsedLevelsAreSubtotals="1" fieldPosition="0">
        <references count="1">
          <reference field="0" count="1">
            <x v="0"/>
          </reference>
        </references>
      </pivotArea>
    </format>
    <format dxfId="56">
      <pivotArea dataOnly="0" labelOnly="1" fieldPosition="0">
        <references count="1">
          <reference field="0" count="1">
            <x v="0"/>
          </reference>
        </references>
      </pivotArea>
    </format>
    <format dxfId="57">
      <pivotArea collapsedLevelsAreSubtotals="1" fieldPosition="0">
        <references count="1">
          <reference field="0" count="1">
            <x v="9"/>
          </reference>
        </references>
      </pivotArea>
    </format>
    <format dxfId="58">
      <pivotArea dataOnly="0" labelOnly="1" fieldPosition="0">
        <references count="1">
          <reference field="0" count="1">
            <x v="9"/>
          </reference>
        </references>
      </pivotArea>
    </format>
    <format dxfId="59">
      <pivotArea collapsedLevelsAreSubtotals="1" fieldPosition="0">
        <references count="1">
          <reference field="0" count="1">
            <x v="11"/>
          </reference>
        </references>
      </pivotArea>
    </format>
    <format dxfId="60">
      <pivotArea collapsedLevelsAreSubtotals="1" fieldPosition="0">
        <references count="1">
          <reference field="0"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D8E72C-5EF3-4A05-8932-0FDFA1E0F692}" name="PivotTable2" cacheId="46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O1:P11" firstHeaderRow="1" firstDataRow="1" firstDataCol="1"/>
  <pivotFields count="3">
    <pivotField axis="axisRow" showAll="0">
      <items count="11">
        <item sd="0" x="0"/>
        <item sd="0" x="1"/>
        <item sd="0" x="4"/>
        <item sd="0" x="5"/>
        <item sd="0" x="8"/>
        <item sd="0" x="9"/>
        <item sd="0" x="6"/>
        <item sd="0" x="7"/>
        <item sd="0" x="2"/>
        <item sd="0" x="3"/>
        <item t="default" sd="0"/>
      </items>
    </pivotField>
    <pivotField axis="axisRow" showAll="0">
      <items count="4">
        <item x="2"/>
        <item x="1"/>
        <item x="0"/>
        <item t="default"/>
      </items>
    </pivotField>
    <pivotField dataField="1" showAll="0">
      <items count="21">
        <item h="1" x="16"/>
        <item x="19"/>
        <item h="1" x="18"/>
        <item h="1" x="17"/>
        <item h="1" x="11"/>
        <item h="1" x="6"/>
        <item h="1" x="5"/>
        <item h="1" x="10"/>
        <item h="1" x="8"/>
        <item h="1" x="4"/>
        <item h="1" x="9"/>
        <item h="1" x="7"/>
        <item h="1" x="0"/>
        <item h="1" x="2"/>
        <item h="1" x="1"/>
        <item h="1" x="15"/>
        <item h="1" x="14"/>
        <item h="1" x="13"/>
        <item h="1" x="12"/>
        <item h="1" x="3"/>
        <item t="default"/>
      </items>
    </pivotField>
  </pivotFields>
  <rowFields count="2">
    <field x="0"/>
    <field x="1"/>
  </rowFields>
  <rowItems count="10">
    <i>
      <x/>
    </i>
    <i>
      <x v="1"/>
    </i>
    <i>
      <x v="2"/>
    </i>
    <i>
      <x v="3"/>
    </i>
    <i>
      <x v="4"/>
    </i>
    <i>
      <x v="5"/>
    </i>
    <i>
      <x v="6"/>
    </i>
    <i>
      <x v="7"/>
    </i>
    <i>
      <x v="8"/>
    </i>
    <i>
      <x v="9"/>
    </i>
  </rowItems>
  <colItems count="1">
    <i/>
  </colItems>
  <dataFields count="1">
    <dataField name="Average of Ratio" fld="2" subtotal="average" baseField="0" baseItem="0" numFmtId="2"/>
  </dataFields>
  <formats count="12">
    <format dxfId="15">
      <pivotArea outline="0" collapsedLevelsAreSubtotals="1" fieldPosition="0"/>
    </format>
    <format dxfId="16">
      <pivotArea collapsedLevelsAreSubtotals="1" fieldPosition="0">
        <references count="1">
          <reference field="0" count="1">
            <x v="4"/>
          </reference>
        </references>
      </pivotArea>
    </format>
    <format dxfId="17">
      <pivotArea collapsedLevelsAreSubtotals="1" fieldPosition="0">
        <references count="2">
          <reference field="0" count="1" selected="0">
            <x v="4"/>
          </reference>
          <reference field="1" count="0"/>
        </references>
      </pivotArea>
    </format>
    <format dxfId="18">
      <pivotArea collapsedLevelsAreSubtotals="1" fieldPosition="0">
        <references count="1">
          <reference field="0" count="1">
            <x v="5"/>
          </reference>
        </references>
      </pivotArea>
    </format>
    <format dxfId="19">
      <pivotArea collapsedLevelsAreSubtotals="1" fieldPosition="0">
        <references count="1">
          <reference field="0" count="1">
            <x v="2"/>
          </reference>
        </references>
      </pivotArea>
    </format>
    <format dxfId="20">
      <pivotArea collapsedLevelsAreSubtotals="1" fieldPosition="0">
        <references count="2">
          <reference field="0" count="1" selected="0">
            <x v="2"/>
          </reference>
          <reference field="1" count="0"/>
        </references>
      </pivotArea>
    </format>
    <format dxfId="21">
      <pivotArea collapsedLevelsAreSubtotals="1" fieldPosition="0">
        <references count="1">
          <reference field="0" count="1">
            <x v="3"/>
          </reference>
        </references>
      </pivotArea>
    </format>
    <format dxfId="22">
      <pivotArea collapsedLevelsAreSubtotals="1" fieldPosition="0">
        <references count="2">
          <reference field="0" count="1" selected="0">
            <x v="3"/>
          </reference>
          <reference field="1" count="1">
            <x v="0"/>
          </reference>
        </references>
      </pivotArea>
    </format>
    <format dxfId="23">
      <pivotArea collapsedLevelsAreSubtotals="1" fieldPosition="0">
        <references count="1">
          <reference field="0" count="1">
            <x v="6"/>
          </reference>
        </references>
      </pivotArea>
    </format>
    <format dxfId="24">
      <pivotArea collapsedLevelsAreSubtotals="1" fieldPosition="0">
        <references count="2">
          <reference field="0" count="1" selected="0">
            <x v="6"/>
          </reference>
          <reference field="1" count="0"/>
        </references>
      </pivotArea>
    </format>
    <format dxfId="25">
      <pivotArea collapsedLevelsAreSubtotals="1" fieldPosition="0">
        <references count="1">
          <reference field="0" count="1">
            <x v="7"/>
          </reference>
        </references>
      </pivotArea>
    </format>
    <format dxfId="26">
      <pivotArea collapsedLevelsAreSubtotals="1" fieldPosition="0">
        <references count="2">
          <reference field="0" count="1" selected="0">
            <x v="7"/>
          </reference>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0C035-5542-47AA-8788-4E22EA536C4D}" name="PivotTable1" cacheId="463" dataPosition="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
  <location ref="A88:D92" firstHeaderRow="0" firstDataRow="1" firstDataCol="1"/>
  <pivotFields count="6">
    <pivotField axis="axisRow" compact="0" outline="0" showAll="0">
      <items count="5">
        <item x="0"/>
        <item x="1"/>
        <item x="2"/>
        <item n="Total" x="3"/>
        <item t="default"/>
      </items>
    </pivotField>
    <pivotField dataField="1" compact="0" outline="0" showAll="0"/>
    <pivotField dataField="1" compact="0" numFmtId="10" outline="0" showAll="0">
      <items count="5">
        <item x="0"/>
        <item x="1"/>
        <item x="2"/>
        <item x="3"/>
        <item t="default"/>
      </items>
    </pivotField>
    <pivotField dataField="1" compact="0" numFmtId="10" outline="0" showAll="0">
      <items count="5">
        <item x="0"/>
        <item x="2"/>
        <item x="1"/>
        <item x="3"/>
        <item t="default"/>
      </items>
    </pivotField>
    <pivotField compact="0" numFmtId="10" outline="0" showAll="0">
      <items count="5">
        <item x="2"/>
        <item x="0"/>
        <item x="1"/>
        <item x="3"/>
        <item t="default"/>
      </items>
    </pivotField>
    <pivotField compact="0" numFmtId="10" outline="0" showAll="0"/>
  </pivotFields>
  <rowFields count="1">
    <field x="0"/>
  </rowFields>
  <rowItems count="4">
    <i>
      <x/>
    </i>
    <i>
      <x v="1"/>
    </i>
    <i>
      <x v="2"/>
    </i>
    <i>
      <x v="3"/>
    </i>
  </rowItems>
  <colFields count="1">
    <field x="-2"/>
  </colFields>
  <colItems count="3">
    <i>
      <x/>
    </i>
    <i i="1">
      <x v="1"/>
    </i>
    <i i="2">
      <x v="2"/>
    </i>
  </colItems>
  <dataFields count="3">
    <dataField name="Sum of Industry Average" fld="2" baseField="0" baseItem="0" numFmtId="10"/>
    <dataField name="Sum of Myer" fld="3" baseField="0" baseItem="0" numFmtId="10"/>
    <dataField name="Sum of Best and Less" fld="1" baseField="0" baseItem="0"/>
  </dataFields>
  <chartFormats count="8">
    <chartFormat chart="6" format="72" series="1">
      <pivotArea type="data" outline="0" fieldPosition="0">
        <references count="1">
          <reference field="4294967294" count="1" selected="0">
            <x v="0"/>
          </reference>
        </references>
      </pivotArea>
    </chartFormat>
    <chartFormat chart="6" format="73" series="1">
      <pivotArea type="data" outline="0" fieldPosition="0">
        <references count="1">
          <reference field="4294967294" count="1" selected="0">
            <x v="1"/>
          </reference>
        </references>
      </pivotArea>
    </chartFormat>
    <chartFormat chart="6" format="74" series="1">
      <pivotArea type="data" outline="0" fieldPosition="0">
        <references count="1">
          <reference field="4294967294" count="1" selected="0">
            <x v="2"/>
          </reference>
        </references>
      </pivotArea>
    </chartFormat>
    <chartFormat chart="6" format="75">
      <pivotArea type="data" outline="0" fieldPosition="0">
        <references count="2">
          <reference field="4294967294" count="1" selected="0">
            <x v="2"/>
          </reference>
          <reference field="0" count="1" selected="0">
            <x v="0"/>
          </reference>
        </references>
      </pivotArea>
    </chartFormat>
    <chartFormat chart="6" format="76">
      <pivotArea type="data" outline="0" fieldPosition="0">
        <references count="2">
          <reference field="4294967294" count="1" selected="0">
            <x v="2"/>
          </reference>
          <reference field="0" count="1" selected="0">
            <x v="3"/>
          </reference>
        </references>
      </pivotArea>
    </chartFormat>
    <chartFormat chart="6" format="77">
      <pivotArea type="data" outline="0" fieldPosition="0">
        <references count="1">
          <reference field="4294967294" count="1" selected="0">
            <x v="2"/>
          </reference>
        </references>
      </pivotArea>
    </chartFormat>
    <chartFormat chart="6" format="78">
      <pivotArea type="data" outline="0" fieldPosition="0">
        <references count="2">
          <reference field="4294967294" count="1" selected="0">
            <x v="2"/>
          </reference>
          <reference field="0" count="1" selected="0">
            <x v="1"/>
          </reference>
        </references>
      </pivotArea>
    </chartFormat>
    <chartFormat chart="6" format="79">
      <pivotArea type="data" outline="0" fieldPosition="0">
        <references count="2">
          <reference field="4294967294" count="1" selected="0">
            <x v="2"/>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C430A29-BCAB-4C25-9D66-C6D958A5E3EB}" sourceName="Year">
  <pivotTables>
    <pivotTable tabId="6" name="PivotTable3"/>
  </pivotTables>
  <data>
    <tabular pivotCacheId="67221880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9FC01375-5697-4886-A4CE-EDA5046A1377}" sourceName="Row Labels">
  <pivotTables>
    <pivotTable tabId="9" name="PivotTable1"/>
  </pivotTables>
  <data>
    <tabular pivotCacheId="58683786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1FA9491-E7D8-4857-9DC6-1EB00DD4D403}" sourceName="Year">
  <pivotTables>
    <pivotTable tabId="9" name="PivotTable2"/>
  </pivotTables>
  <data>
    <tabular pivotCacheId="86442053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ABA65C2-B89F-4C1B-8FF2-4AE25A52EDBC}"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FD2B8083-55F4-40E7-AB8C-7B8F769044C0}" cache="Slicer_Row_Labels" caption="Year" rowHeight="251883"/>
  <slicer name="Year 1" xr10:uid="{3358362F-98D1-43DA-881B-38804B53FFE9}" cache="Slicer_Year1"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07D80B-C6D4-4D9B-BC35-6E65FE7DBC45}" name="Table3" displayName="Table3" ref="Q1:S33" totalsRowShown="0" tableBorderDxfId="14">
  <autoFilter ref="Q1:S33" xr:uid="{6007D80B-C6D4-4D9B-BC35-6E65FE7DBC45}"/>
  <tableColumns count="3">
    <tableColumn id="1" xr3:uid="{15B2DE50-1AEF-4AEA-B884-1EAB82D5BE1E}" name="Profitability Ratios:" dataDxfId="13"/>
    <tableColumn id="2" xr3:uid="{A3004656-B87F-4556-9884-DF64CB93CA14}" name="Year" dataDxfId="12"/>
    <tableColumn id="3" xr3:uid="{A2417DA9-FE1C-456C-85C5-270835050024}" name="Ratio"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FABED2-ED77-4249-9D60-D276644330C8}" name="Table1" displayName="Table1" ref="A30:C38" totalsRowShown="0" tableBorderDxfId="10">
  <autoFilter ref="A30:C38" xr:uid="{AFFABED2-ED77-4249-9D60-D276644330C8}"/>
  <tableColumns count="3">
    <tableColumn id="1" xr3:uid="{EDB61F75-DE68-4E3F-AF4E-5F6914F4E55C}" name="Best&amp;Less: 2022 (most recent report)" dataDxfId="9"/>
    <tableColumn id="2" xr3:uid="{52207FC6-FEAB-4D19-A797-78EB52184837}" name="Year" dataDxfId="8"/>
    <tableColumn id="3" xr3:uid="{255B3CEF-3CCA-4554-8980-8E7F3368C4A3}" name="Ratio"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6084FD-01EE-4C02-A822-C8C8C70B01D8}" name="Table6" displayName="Table6" ref="M1:O25" totalsRowShown="0" headerRowBorderDxfId="5" tableBorderDxfId="6">
  <autoFilter ref="M1:O25" xr:uid="{4B6084FD-01EE-4C02-A822-C8C8C70B01D8}"/>
  <tableColumns count="3">
    <tableColumn id="1" xr3:uid="{0B268F88-442E-4106-90A2-1A04A0AE305A}" name="Solvency Ratios: "/>
    <tableColumn id="2" xr3:uid="{68665E2E-BF5D-4B52-AD59-4E1A57AAC7B1}" name="Year" dataDxfId="4"/>
    <tableColumn id="3" xr3:uid="{AF048EBA-202D-4FA0-B1E9-2FCFBD8C2B26}" name="Rati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58C23A-AC3E-498D-9345-D69208F391B0}" name="Table5" displayName="Table5" ref="A31:C37" totalsRowShown="0" tableBorderDxfId="3">
  <autoFilter ref="A31:C37" xr:uid="{9158C23A-AC3E-498D-9345-D69208F391B0}"/>
  <tableColumns count="3">
    <tableColumn id="1" xr3:uid="{919B07CC-8B70-48A4-8540-E61821539E42}" name="Best&amp;Less" dataDxfId="2"/>
    <tableColumn id="2" xr3:uid="{E113517E-558A-404D-A222-72FBE682684E}" name="Year" dataDxfId="1"/>
    <tableColumn id="3" xr3:uid="{270665D1-58C1-4BAD-BD9F-445D71F6DB78}" name="Rati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vestor.myer.com.au/FormBuilder/_Resource/_module/8Ui4A1yDKkySwNHUlaYfCQ/file/AGM/MYR3024_Annual_Report_24.pdf" TargetMode="External"/><Relationship Id="rId2" Type="http://schemas.openxmlformats.org/officeDocument/2006/relationships/hyperlink" Target="https://investor.myer.com.au/FormBuilder/_Resource/_module/dGngnzELxUikQxL5gb1cgA/file/Myer_Annual_Report_2021.pdf" TargetMode="External"/><Relationship Id="rId1" Type="http://schemas.openxmlformats.org/officeDocument/2006/relationships/hyperlink" Target="https://investor.myer.com.au/reports/?page=annual-reports" TargetMode="External"/><Relationship Id="rId6" Type="http://schemas.openxmlformats.org/officeDocument/2006/relationships/hyperlink" Target="https://www.annualreports.com/HostedData/AnnualReports/PDF/ASX_BST_2022.pdf" TargetMode="External"/><Relationship Id="rId5" Type="http://schemas.openxmlformats.org/officeDocument/2006/relationships/hyperlink" Target="https://investor.myer.com.au/FormBuilder/_Resource/_module/dGngnzELxUikQxL5gb1cgA/file/Myer_Annual_Report_2022.pdf" TargetMode="External"/><Relationship Id="rId4" Type="http://schemas.openxmlformats.org/officeDocument/2006/relationships/hyperlink" Target="https://investor.myer.com.au/FormBuilder/_Resource/_module/dGngnzELxUikQxL5gb1cgA/file/MYR2723_AnnualReport_FA2_Web-Interactiv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557F-A607-45BE-A530-98D9238C464B}">
  <dimension ref="A1:D17"/>
  <sheetViews>
    <sheetView zoomScale="87" workbookViewId="0">
      <selection activeCell="A17" sqref="A17"/>
    </sheetView>
  </sheetViews>
  <sheetFormatPr defaultRowHeight="14.45"/>
  <cols>
    <col min="2" max="2" width="22.140625" customWidth="1"/>
    <col min="3" max="3" width="27.42578125" customWidth="1"/>
    <col min="4" max="4" width="49.85546875" customWidth="1"/>
  </cols>
  <sheetData>
    <row r="1" spans="1:4">
      <c r="A1" s="3" t="s">
        <v>0</v>
      </c>
      <c r="B1" s="3" t="s">
        <v>1</v>
      </c>
      <c r="C1" s="3" t="s">
        <v>2</v>
      </c>
      <c r="D1" s="2" t="s">
        <v>3</v>
      </c>
    </row>
    <row r="2" spans="1:4">
      <c r="A2" s="76" t="s">
        <v>4</v>
      </c>
      <c r="B2" s="76" t="s">
        <v>5</v>
      </c>
      <c r="C2" s="76" t="s">
        <v>6</v>
      </c>
      <c r="D2" s="77" t="s">
        <v>7</v>
      </c>
    </row>
    <row r="4" spans="1:4">
      <c r="A4" t="s">
        <v>8</v>
      </c>
    </row>
    <row r="6" spans="1:4">
      <c r="A6" s="1" t="s">
        <v>9</v>
      </c>
    </row>
    <row r="7" spans="1:4">
      <c r="A7">
        <v>2024</v>
      </c>
      <c r="B7" s="5" t="s">
        <v>10</v>
      </c>
    </row>
    <row r="8" spans="1:4">
      <c r="A8">
        <v>2023</v>
      </c>
      <c r="B8" s="5" t="s">
        <v>11</v>
      </c>
    </row>
    <row r="9" spans="1:4">
      <c r="A9">
        <v>2022</v>
      </c>
      <c r="B9" s="5" t="s">
        <v>12</v>
      </c>
    </row>
    <row r="10" spans="1:4">
      <c r="A10">
        <v>2021</v>
      </c>
      <c r="B10" s="5" t="s">
        <v>13</v>
      </c>
    </row>
    <row r="12" spans="1:4">
      <c r="A12" s="1" t="s">
        <v>14</v>
      </c>
    </row>
    <row r="13" spans="1:4">
      <c r="A13">
        <v>2022</v>
      </c>
      <c r="B13" s="5" t="s">
        <v>15</v>
      </c>
    </row>
    <row r="15" spans="1:4">
      <c r="A15" t="s">
        <v>16</v>
      </c>
    </row>
    <row r="17" spans="1:1">
      <c r="A17" t="s">
        <v>17</v>
      </c>
    </row>
  </sheetData>
  <hyperlinks>
    <hyperlink ref="D2" r:id="rId1" xr:uid="{8C9D56EF-16D6-4D91-AAB1-35B8993C8C45}"/>
    <hyperlink ref="B10" r:id="rId2" display="https://investor.myer.com.au/FormBuilder/_Resource/_module/dGngnzELxUikQxL5gb1cgA/file/Myer_Annual_Report_2021.pdf" xr:uid="{D460A4A9-33D7-49E1-945A-598ADC95F313}"/>
    <hyperlink ref="B7" r:id="rId3" xr:uid="{88618617-DC79-4056-9712-2EA5798C6907}"/>
    <hyperlink ref="B8" r:id="rId4" xr:uid="{DC656F4F-28FF-4251-8468-AE0274CF35E1}"/>
    <hyperlink ref="B9" r:id="rId5" xr:uid="{54BF4CAD-0BB4-40EA-ABCD-40BA6777443A}"/>
    <hyperlink ref="B13" r:id="rId6" display="https://www.annualreports.com/HostedData/AnnualReports/PDF/ASX_BST_2022.pdf" xr:uid="{624B3557-BFD3-4958-B0A5-BC5C0C020D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38EB-EB26-4B02-BC74-EE6F80DCF51D}">
  <dimension ref="A1:U47"/>
  <sheetViews>
    <sheetView topLeftCell="A27" zoomScale="79" zoomScaleNormal="130" workbookViewId="0">
      <selection activeCell="A41" sqref="A41:A42"/>
    </sheetView>
  </sheetViews>
  <sheetFormatPr defaultRowHeight="14.45"/>
  <cols>
    <col min="1" max="1" width="35" customWidth="1"/>
    <col min="2" max="2" width="6.5703125" customWidth="1"/>
    <col min="3" max="3" width="8.42578125" customWidth="1"/>
    <col min="6" max="6" width="38" customWidth="1"/>
    <col min="7" max="7" width="7" customWidth="1"/>
    <col min="8" max="8" width="11.85546875" bestFit="1" customWidth="1"/>
    <col min="9" max="9" width="8.5703125" customWidth="1"/>
    <col min="11" max="11" width="42.85546875" customWidth="1"/>
    <col min="12" max="12" width="7" customWidth="1"/>
    <col min="14" max="14" width="8.85546875" customWidth="1"/>
    <col min="16" max="16" width="37.5703125" customWidth="1"/>
    <col min="17" max="17" width="7.5703125" customWidth="1"/>
    <col min="19" max="19" width="51.85546875" customWidth="1"/>
  </cols>
  <sheetData>
    <row r="1" spans="1:18">
      <c r="A1" s="6" t="s">
        <v>18</v>
      </c>
      <c r="B1" s="78" t="s">
        <v>19</v>
      </c>
      <c r="C1" s="79" t="s">
        <v>20</v>
      </c>
      <c r="F1" s="80" t="s">
        <v>21</v>
      </c>
      <c r="G1" s="25" t="s">
        <v>19</v>
      </c>
      <c r="H1" s="26" t="s">
        <v>20</v>
      </c>
      <c r="K1" s="81" t="s">
        <v>22</v>
      </c>
      <c r="L1" s="79" t="s">
        <v>19</v>
      </c>
      <c r="M1" s="82" t="s">
        <v>20</v>
      </c>
      <c r="P1" s="81" t="s">
        <v>23</v>
      </c>
      <c r="Q1" s="79" t="s">
        <v>19</v>
      </c>
      <c r="R1" s="82" t="s">
        <v>20</v>
      </c>
    </row>
    <row r="2" spans="1:18">
      <c r="A2" s="11" t="s">
        <v>24</v>
      </c>
      <c r="B2" s="16"/>
      <c r="C2" s="17"/>
      <c r="F2" s="10" t="s">
        <v>25</v>
      </c>
      <c r="G2" s="16"/>
      <c r="H2" s="17"/>
      <c r="K2" s="10" t="s">
        <v>26</v>
      </c>
      <c r="L2" s="16"/>
      <c r="M2" s="17"/>
      <c r="P2" s="16" t="s">
        <v>27</v>
      </c>
      <c r="Q2" s="28"/>
      <c r="R2" s="17"/>
    </row>
    <row r="3" spans="1:18">
      <c r="A3" s="9"/>
      <c r="B3" s="27">
        <v>2024</v>
      </c>
      <c r="C3" s="20">
        <f xml:space="preserve"> (162.7 / 2649.9)</f>
        <v>6.1398543341258154E-2</v>
      </c>
      <c r="F3" s="9"/>
      <c r="G3" s="48">
        <v>2024</v>
      </c>
      <c r="H3" s="49">
        <f>584.4/646.3</f>
        <v>0.90422404456134919</v>
      </c>
      <c r="K3" s="7"/>
      <c r="L3" s="30">
        <v>2024</v>
      </c>
      <c r="M3" s="12">
        <f>(2120.5/255)</f>
        <v>8.3156862745098046</v>
      </c>
      <c r="P3" s="9"/>
      <c r="Q3" s="30">
        <v>2024</v>
      </c>
      <c r="R3" s="4">
        <v>5.2</v>
      </c>
    </row>
    <row r="4" spans="1:18">
      <c r="A4" s="9" t="s">
        <v>28</v>
      </c>
      <c r="B4" s="27">
        <v>2023</v>
      </c>
      <c r="C4" s="20">
        <f xml:space="preserve"> (196.2 / 2765.2)</f>
        <v>7.095327643570086E-2</v>
      </c>
      <c r="F4" s="9" t="s">
        <v>29</v>
      </c>
      <c r="G4" s="48">
        <v>2023</v>
      </c>
      <c r="H4" s="49">
        <f>585.4/640.7</f>
        <v>0.9136881535820196</v>
      </c>
      <c r="K4" s="7" t="s">
        <v>30</v>
      </c>
      <c r="L4" s="30">
        <v>2023</v>
      </c>
      <c r="M4" s="12">
        <f>(2196.3/240.5)</f>
        <v>9.1322245322245337</v>
      </c>
      <c r="P4" s="9" t="s">
        <v>27</v>
      </c>
      <c r="Q4" s="30">
        <v>2023</v>
      </c>
      <c r="R4" s="4">
        <v>7.4</v>
      </c>
    </row>
    <row r="5" spans="1:18">
      <c r="A5" s="9"/>
      <c r="B5" s="27">
        <v>2022</v>
      </c>
      <c r="C5" s="20">
        <f xml:space="preserve"> (184.2 / 2502.3)</f>
        <v>7.3612276705430996E-2</v>
      </c>
      <c r="F5" s="9"/>
      <c r="G5" s="50">
        <v>2022</v>
      </c>
      <c r="H5" s="51">
        <f xml:space="preserve"> 649 / 665.7</f>
        <v>0.97491362475589594</v>
      </c>
      <c r="I5" s="7"/>
      <c r="K5" s="7"/>
      <c r="L5" s="29">
        <v>2022</v>
      </c>
      <c r="M5" s="38">
        <f xml:space="preserve"> (2283.2 / 267.4)</f>
        <v>8.5385190725504856</v>
      </c>
      <c r="N5" s="7"/>
      <c r="P5" s="14"/>
      <c r="Q5" s="29">
        <v>2022</v>
      </c>
      <c r="R5" s="4">
        <v>6</v>
      </c>
    </row>
    <row r="6" spans="1:18">
      <c r="A6" s="11" t="s">
        <v>31</v>
      </c>
      <c r="B6" s="28"/>
      <c r="C6" s="21"/>
      <c r="F6" s="16" t="s">
        <v>32</v>
      </c>
      <c r="G6" s="32"/>
      <c r="H6" s="19"/>
      <c r="K6" s="16" t="s">
        <v>33</v>
      </c>
      <c r="L6" s="16"/>
      <c r="M6" s="17"/>
      <c r="P6" s="16" t="s">
        <v>34</v>
      </c>
      <c r="Q6" s="28"/>
      <c r="R6" s="17"/>
    </row>
    <row r="7" spans="1:18">
      <c r="A7" s="9"/>
      <c r="B7" s="27">
        <v>2024</v>
      </c>
      <c r="C7" s="20">
        <f xml:space="preserve"> (52.6 / 2649.9)</f>
        <v>1.984980565304351E-2</v>
      </c>
      <c r="F7" s="9"/>
      <c r="G7" s="31">
        <v>2024</v>
      </c>
      <c r="H7" s="12">
        <f>(584.4-368.5-9.7)/(646.3)</f>
        <v>0.31904688225282379</v>
      </c>
      <c r="K7" s="7"/>
      <c r="L7" s="30">
        <v>2024</v>
      </c>
      <c r="M7" s="47">
        <f>(2120.5 - 1405.2 - 161.9) / 255</f>
        <v>2.1701960784313723</v>
      </c>
      <c r="P7" s="9"/>
      <c r="Q7" s="30">
        <v>2024</v>
      </c>
      <c r="R7" s="22">
        <v>0.82</v>
      </c>
    </row>
    <row r="8" spans="1:18">
      <c r="A8" s="9" t="s">
        <v>35</v>
      </c>
      <c r="B8" s="27">
        <v>2023</v>
      </c>
      <c r="C8" s="20">
        <f xml:space="preserve"> (71.1 / 2765.2)</f>
        <v>2.5712425864313611E-2</v>
      </c>
      <c r="F8" s="9" t="s">
        <v>36</v>
      </c>
      <c r="G8" s="31">
        <v>2023</v>
      </c>
      <c r="H8" s="12">
        <f>(585.4-371.3-7.7)/640.7</f>
        <v>0.32214765100671133</v>
      </c>
      <c r="K8" s="7" t="s">
        <v>30</v>
      </c>
      <c r="L8" s="30">
        <v>2023</v>
      </c>
      <c r="M8" s="12">
        <f>(2196.3 - 1490.6 - 154.3)/240.5</f>
        <v>2.2927234927234941</v>
      </c>
      <c r="P8" s="9" t="s">
        <v>37</v>
      </c>
      <c r="Q8" s="30">
        <v>2023</v>
      </c>
      <c r="R8" s="22">
        <v>0.65</v>
      </c>
    </row>
    <row r="9" spans="1:18">
      <c r="A9" s="9"/>
      <c r="B9" s="27">
        <v>2022</v>
      </c>
      <c r="C9" s="20">
        <f xml:space="preserve"> (60.2 / 2502.3)</f>
        <v>2.4057866762578428E-2</v>
      </c>
      <c r="F9" s="14"/>
      <c r="G9" s="34">
        <v>2022</v>
      </c>
      <c r="H9" s="38">
        <f>(649-371.4-6.4)/665.7</f>
        <v>0.40739071653898157</v>
      </c>
      <c r="I9" s="7"/>
      <c r="K9" s="7"/>
      <c r="L9" s="29">
        <v>2022</v>
      </c>
      <c r="M9" s="40">
        <f xml:space="preserve"> (2283.2 - 1555 - 144.2)/ 267.4</f>
        <v>2.1839940164547489</v>
      </c>
      <c r="N9" s="7"/>
      <c r="P9" s="14"/>
      <c r="Q9" s="29">
        <v>2022</v>
      </c>
      <c r="R9" s="22">
        <v>0.47</v>
      </c>
    </row>
    <row r="10" spans="1:18">
      <c r="A10" s="11" t="s">
        <v>38</v>
      </c>
      <c r="B10" s="28"/>
      <c r="C10" s="21"/>
      <c r="F10" s="18" t="s">
        <v>39</v>
      </c>
      <c r="G10" s="32"/>
      <c r="H10" s="19"/>
      <c r="K10" s="16" t="s">
        <v>40</v>
      </c>
      <c r="L10" s="39"/>
      <c r="M10" s="19"/>
      <c r="P10" s="16" t="s">
        <v>41</v>
      </c>
      <c r="Q10" s="28"/>
      <c r="R10" s="17"/>
    </row>
    <row r="11" spans="1:18">
      <c r="A11" s="9"/>
      <c r="B11" s="27">
        <v>2024</v>
      </c>
      <c r="C11" s="20">
        <f xml:space="preserve"> 52.6 / ((2375.5 + 2436.8) / 2)</f>
        <v>2.1860648754233943E-2</v>
      </c>
      <c r="F11" s="9"/>
      <c r="G11" s="31">
        <v>2024</v>
      </c>
      <c r="H11" s="12">
        <f>176/646.3</f>
        <v>0.27231935633606685</v>
      </c>
      <c r="K11" s="9"/>
      <c r="L11" s="30">
        <v>2024</v>
      </c>
      <c r="M11" s="12">
        <f>162.7/92.8</f>
        <v>1.7532327586206895</v>
      </c>
      <c r="P11" s="9"/>
      <c r="Q11" s="30">
        <v>2024</v>
      </c>
      <c r="R11" s="20">
        <f xml:space="preserve"> 3.5 / R3</f>
        <v>0.67307692307692302</v>
      </c>
    </row>
    <row r="12" spans="1:18">
      <c r="A12" s="9" t="s">
        <v>42</v>
      </c>
      <c r="B12" s="27">
        <v>2023</v>
      </c>
      <c r="C12" s="20">
        <f xml:space="preserve"> 71.1 / ((2436.8 + 2550.6) / 2)</f>
        <v>2.851184986165136E-2</v>
      </c>
      <c r="F12" s="9" t="s">
        <v>43</v>
      </c>
      <c r="G12" s="31">
        <v>2023</v>
      </c>
      <c r="H12" s="12">
        <f>179.7/640.7</f>
        <v>0.28047448103636646</v>
      </c>
      <c r="K12" s="9" t="s">
        <v>44</v>
      </c>
      <c r="L12" s="30">
        <v>2023</v>
      </c>
      <c r="M12" s="12">
        <f>196.2/96.2</f>
        <v>2.0395010395010393</v>
      </c>
      <c r="P12" s="9" t="s">
        <v>45</v>
      </c>
      <c r="Q12" s="30">
        <v>2023</v>
      </c>
      <c r="R12" s="20">
        <f xml:space="preserve"> 9 / R4</f>
        <v>1.2162162162162162</v>
      </c>
    </row>
    <row r="13" spans="1:18">
      <c r="A13" s="13" t="s">
        <v>46</v>
      </c>
      <c r="B13" s="27">
        <v>2022</v>
      </c>
      <c r="C13" s="20">
        <f xml:space="preserve"> 60.2 / ((2550.6 + 2468.1) / 2)</f>
        <v>2.3990276366389705E-2</v>
      </c>
      <c r="F13" s="9"/>
      <c r="G13" s="34">
        <v>2022</v>
      </c>
      <c r="H13" s="38">
        <f xml:space="preserve"> 243.9 / 665.7</f>
        <v>0.36638125281658401</v>
      </c>
      <c r="I13" s="7"/>
      <c r="K13" s="8"/>
      <c r="L13" s="29">
        <v>2022</v>
      </c>
      <c r="M13" s="40">
        <f>184.2/99.2</f>
        <v>1.8568548387096773</v>
      </c>
      <c r="P13" s="14"/>
      <c r="Q13" s="29">
        <v>2022</v>
      </c>
      <c r="R13" s="20">
        <f xml:space="preserve"> 4 / R5</f>
        <v>0.66666666666666663</v>
      </c>
    </row>
    <row r="14" spans="1:18">
      <c r="A14" s="11" t="s">
        <v>47</v>
      </c>
      <c r="B14" s="28"/>
      <c r="C14" s="21"/>
      <c r="F14" s="16" t="s">
        <v>48</v>
      </c>
      <c r="G14" s="33"/>
      <c r="H14" s="35"/>
      <c r="I14" s="7"/>
      <c r="K14" s="16" t="s">
        <v>49</v>
      </c>
      <c r="L14" s="39"/>
      <c r="M14" s="19"/>
      <c r="P14" s="10" t="s">
        <v>50</v>
      </c>
      <c r="Q14" s="28"/>
      <c r="R14" s="17"/>
    </row>
    <row r="15" spans="1:18">
      <c r="A15" s="9"/>
      <c r="B15" s="27">
        <v>2024</v>
      </c>
      <c r="C15" s="20">
        <f xml:space="preserve"> 52.6 / 255</f>
        <v>0.20627450980392156</v>
      </c>
      <c r="F15" s="9"/>
      <c r="G15" s="31">
        <v>2024</v>
      </c>
      <c r="H15" s="36">
        <f>(((368.5+371.3)/2)/1450)*365</f>
        <v>93.112758620689661</v>
      </c>
      <c r="I15" s="7"/>
      <c r="K15" s="9"/>
      <c r="L15" s="30">
        <v>2024</v>
      </c>
      <c r="M15" s="12">
        <f xml:space="preserve"> 255 / 2375.5</f>
        <v>0.10734582193222479</v>
      </c>
      <c r="P15" s="7"/>
      <c r="Q15" s="30">
        <v>2024</v>
      </c>
      <c r="R15" s="23">
        <f xml:space="preserve"> R7 / (R3/100)</f>
        <v>15.769230769230766</v>
      </c>
    </row>
    <row r="16" spans="1:18">
      <c r="A16" s="9" t="s">
        <v>51</v>
      </c>
      <c r="B16" s="27">
        <v>2023</v>
      </c>
      <c r="C16" s="20">
        <f xml:space="preserve"> 71.1 / 240.5</f>
        <v>0.29563409563409559</v>
      </c>
      <c r="F16" s="9" t="s">
        <v>52</v>
      </c>
      <c r="G16" s="31">
        <v>2023</v>
      </c>
      <c r="H16" s="36">
        <f>(((371.3+371.4)/2)/1536.9) * 365</f>
        <v>88.192302687227539</v>
      </c>
      <c r="I16" s="7"/>
      <c r="K16" s="9" t="s">
        <v>53</v>
      </c>
      <c r="L16" s="30">
        <v>2023</v>
      </c>
      <c r="M16" s="12">
        <f xml:space="preserve"> 240.5 / 2436.8</f>
        <v>9.869500984898226E-2</v>
      </c>
      <c r="P16" s="7" t="s">
        <v>54</v>
      </c>
      <c r="Q16" s="30">
        <v>2023</v>
      </c>
      <c r="R16" s="23">
        <f xml:space="preserve"> R8 / (R4/100)</f>
        <v>8.7837837837837824</v>
      </c>
    </row>
    <row r="17" spans="1:21">
      <c r="A17" s="9"/>
      <c r="B17" s="27">
        <v>2022</v>
      </c>
      <c r="C17" s="20">
        <f xml:space="preserve"> 60.2 / 267.4</f>
        <v>0.22513089005235606</v>
      </c>
      <c r="F17" s="14"/>
      <c r="G17" s="34">
        <v>2022</v>
      </c>
      <c r="H17" s="38">
        <f>(((371.4 + 305.2) /2) /1356.7) * 365</f>
        <v>91.014594236013849</v>
      </c>
      <c r="I17" s="7"/>
      <c r="K17" s="8"/>
      <c r="L17" s="29">
        <v>2022</v>
      </c>
      <c r="M17" s="40">
        <f xml:space="preserve"> 267.4 / 2550.6</f>
        <v>0.10483807731514153</v>
      </c>
      <c r="P17" s="8"/>
      <c r="Q17" s="29">
        <v>2022</v>
      </c>
      <c r="R17" s="24">
        <f xml:space="preserve"> R9 / (R5/100)</f>
        <v>7.833333333333333</v>
      </c>
    </row>
    <row r="18" spans="1:21">
      <c r="A18" s="11" t="s">
        <v>55</v>
      </c>
      <c r="B18" s="28"/>
      <c r="C18" s="17"/>
      <c r="F18" s="18" t="s">
        <v>56</v>
      </c>
      <c r="G18" s="32"/>
      <c r="H18" s="37"/>
      <c r="I18" s="7"/>
      <c r="K18" s="16" t="s">
        <v>57</v>
      </c>
      <c r="L18" s="39"/>
      <c r="M18" s="19"/>
      <c r="P18" s="10" t="s">
        <v>58</v>
      </c>
      <c r="Q18" s="28"/>
      <c r="R18" s="17"/>
    </row>
    <row r="19" spans="1:21">
      <c r="A19" s="9"/>
      <c r="B19" s="27">
        <v>2024</v>
      </c>
      <c r="C19" s="20">
        <f xml:space="preserve"> (2649.9 - 2765.2) / 2765.2</f>
        <v>-4.1696803124547856E-2</v>
      </c>
      <c r="F19" s="9"/>
      <c r="G19" s="31">
        <v>2024</v>
      </c>
      <c r="H19" s="36">
        <f>(((11+10.5)/2)/3266.1)*365</f>
        <v>1.2013563577355257</v>
      </c>
      <c r="I19" s="7"/>
      <c r="K19" s="9"/>
      <c r="L19" s="30">
        <v>2024</v>
      </c>
      <c r="M19" s="12">
        <f xml:space="preserve"> 1474.2 / 255</f>
        <v>5.7811764705882354</v>
      </c>
      <c r="P19" s="7"/>
      <c r="Q19" s="30">
        <v>2024</v>
      </c>
      <c r="R19" s="20">
        <f xml:space="preserve"> (3.5 / 100) / 0.82</f>
        <v>4.2682926829268296E-2</v>
      </c>
    </row>
    <row r="20" spans="1:21">
      <c r="A20" s="9" t="s">
        <v>59</v>
      </c>
      <c r="B20" s="27">
        <v>2023</v>
      </c>
      <c r="C20" s="20">
        <f xml:space="preserve"> (2765.2 - 2502.3) / 2502.3</f>
        <v>0.10506334172561228</v>
      </c>
      <c r="F20" s="9" t="s">
        <v>60</v>
      </c>
      <c r="G20" s="31">
        <v>2023</v>
      </c>
      <c r="H20" s="36">
        <f>(((10.5+13)/2)/3362.9)*365</f>
        <v>1.2753129739213178</v>
      </c>
      <c r="I20" s="7"/>
      <c r="K20" s="9" t="s">
        <v>61</v>
      </c>
      <c r="L20" s="30">
        <v>2023</v>
      </c>
      <c r="M20" s="12">
        <f xml:space="preserve"> 1555.6 / 240.5</f>
        <v>6.4681912681912674</v>
      </c>
      <c r="P20" s="7" t="s">
        <v>62</v>
      </c>
      <c r="Q20" s="30">
        <v>2023</v>
      </c>
      <c r="R20" s="20">
        <f xml:space="preserve"> (9 / 100) / 0.65</f>
        <v>0.13846153846153844</v>
      </c>
      <c r="S20" s="1"/>
      <c r="U20" s="1"/>
    </row>
    <row r="21" spans="1:21">
      <c r="A21" s="9"/>
      <c r="B21" s="27">
        <v>2022</v>
      </c>
      <c r="C21" s="20">
        <f xml:space="preserve"> (2502.3 - 2250.4) / 2250.4</f>
        <v>0.11193565588339854</v>
      </c>
      <c r="F21" s="9"/>
      <c r="G21" s="34">
        <v>2022</v>
      </c>
      <c r="H21" s="38">
        <f>(((13+10.2)/2)/2989.8)*365</f>
        <v>1.4161482373402901</v>
      </c>
      <c r="I21" s="7"/>
      <c r="K21" s="8"/>
      <c r="L21" s="29">
        <v>2022</v>
      </c>
      <c r="M21" s="40">
        <f xml:space="preserve"> 1617.5 / 267.4</f>
        <v>6.0489902767389685</v>
      </c>
      <c r="P21" s="8"/>
      <c r="Q21" s="29">
        <v>2022</v>
      </c>
      <c r="R21" s="43">
        <f xml:space="preserve"> (4 / 100) / 0.47</f>
        <v>8.5106382978723416E-2</v>
      </c>
    </row>
    <row r="22" spans="1:21">
      <c r="A22" s="11" t="s">
        <v>63</v>
      </c>
      <c r="B22" s="28"/>
      <c r="C22" s="17"/>
      <c r="F22" s="16" t="s">
        <v>64</v>
      </c>
      <c r="G22" s="32"/>
      <c r="H22" s="37"/>
      <c r="I22" s="7"/>
      <c r="K22" s="16" t="s">
        <v>65</v>
      </c>
      <c r="L22" s="39"/>
      <c r="M22" s="19"/>
    </row>
    <row r="23" spans="1:21">
      <c r="A23" s="9"/>
      <c r="B23" s="27">
        <v>2024</v>
      </c>
      <c r="C23" s="12">
        <f xml:space="preserve"> 3266.1 / ((2375.5 + 2436.8) / 2)</f>
        <v>1.3573966710304843</v>
      </c>
      <c r="F23" s="9"/>
      <c r="G23" s="31">
        <v>2024</v>
      </c>
      <c r="H23" s="12">
        <f>((195.5+188)/2)/1450*365</f>
        <v>48.268103448275859</v>
      </c>
      <c r="K23" s="9"/>
      <c r="L23" s="30">
        <v>2024</v>
      </c>
      <c r="M23" s="12">
        <f xml:space="preserve"> (1474.2 - 1405.2) / 255</f>
        <v>0.27058823529411763</v>
      </c>
    </row>
    <row r="24" spans="1:21">
      <c r="A24" s="9" t="s">
        <v>66</v>
      </c>
      <c r="B24" s="27">
        <v>2023</v>
      </c>
      <c r="C24" s="12">
        <f xml:space="preserve"> 3362.9 / ((2436.8 + 2550.6) / 2)</f>
        <v>1.3485583670850545</v>
      </c>
      <c r="F24" s="9" t="s">
        <v>67</v>
      </c>
      <c r="G24" s="31">
        <v>2023</v>
      </c>
      <c r="H24" s="12">
        <f>((188+195.1)/2)/1536.9*365</f>
        <v>45.491411282451686</v>
      </c>
      <c r="K24" s="9" t="s">
        <v>61</v>
      </c>
      <c r="L24" s="30">
        <v>2023</v>
      </c>
      <c r="M24" s="12">
        <f xml:space="preserve"> (1555.6 - 1490.6) / 240.5</f>
        <v>0.27027027027027029</v>
      </c>
    </row>
    <row r="25" spans="1:21">
      <c r="A25" s="9"/>
      <c r="B25" s="27">
        <v>2022</v>
      </c>
      <c r="C25" s="12">
        <f xml:space="preserve"> 2989.8 / ((2550.6 + 2468.1) / 2)</f>
        <v>1.1914639249207963</v>
      </c>
      <c r="F25" s="8"/>
      <c r="G25" s="34">
        <v>2022</v>
      </c>
      <c r="H25" s="15">
        <f>((195.1+165.2)/2)/1356.7*365</f>
        <v>48.466683865261288</v>
      </c>
      <c r="K25" s="8"/>
      <c r="L25" s="29">
        <v>2022</v>
      </c>
      <c r="M25" s="40">
        <f xml:space="preserve"> (1617.5 - 1555) / 267.4</f>
        <v>0.23373223635003743</v>
      </c>
    </row>
    <row r="26" spans="1:21">
      <c r="A26" s="11" t="s">
        <v>68</v>
      </c>
      <c r="B26" s="28"/>
      <c r="C26" s="17"/>
      <c r="K26" s="46"/>
    </row>
    <row r="27" spans="1:21">
      <c r="A27" s="9"/>
      <c r="B27" s="27">
        <v>2024</v>
      </c>
      <c r="C27" s="12">
        <f xml:space="preserve"> 3266.1 / ((1791.4 + 1851.4) / 2)</f>
        <v>1.7931810695069725</v>
      </c>
    </row>
    <row r="28" spans="1:21">
      <c r="A28" s="9" t="s">
        <v>69</v>
      </c>
      <c r="B28" s="27">
        <v>2023</v>
      </c>
      <c r="C28" s="12">
        <f xml:space="preserve"> 3362.9 / ((1851.4 + 1901.6) / 2)</f>
        <v>1.7921129762856383</v>
      </c>
    </row>
    <row r="29" spans="1:21">
      <c r="A29" s="9"/>
      <c r="B29" s="27">
        <v>2022</v>
      </c>
      <c r="C29" s="12">
        <f xml:space="preserve"> 2989.8 / ((1901.6 + 1961.2) / 2)</f>
        <v>1.5479962721342031</v>
      </c>
    </row>
    <row r="30" spans="1:21">
      <c r="A30" s="11" t="s">
        <v>70</v>
      </c>
      <c r="B30" s="28"/>
      <c r="C30" s="17"/>
    </row>
    <row r="31" spans="1:21">
      <c r="A31" s="9"/>
      <c r="B31" s="27">
        <v>2024</v>
      </c>
      <c r="C31" s="12">
        <f xml:space="preserve"> 3266.1 / ((317.4 + 321.7) / 2)</f>
        <v>10.22093569081521</v>
      </c>
    </row>
    <row r="32" spans="1:21">
      <c r="A32" s="9" t="s">
        <v>71</v>
      </c>
      <c r="B32" s="27">
        <v>2023</v>
      </c>
      <c r="C32" s="12">
        <f xml:space="preserve"> 3362.9 / ((321.7 + 305) / 2)</f>
        <v>10.732088718685176</v>
      </c>
    </row>
    <row r="33" spans="1:18">
      <c r="A33" s="14"/>
      <c r="B33" s="29">
        <v>2022</v>
      </c>
      <c r="C33" s="15">
        <f xml:space="preserve"> 2989.8 / ((305 + 318.5) / 2)</f>
        <v>9.5903769045709701</v>
      </c>
    </row>
    <row r="35" spans="1:18">
      <c r="A35" s="1" t="s">
        <v>72</v>
      </c>
    </row>
    <row r="36" spans="1:18">
      <c r="A36" s="83" t="s">
        <v>24</v>
      </c>
      <c r="B36" s="84">
        <v>2022</v>
      </c>
      <c r="C36" s="85">
        <f xml:space="preserve"> 60512 / 622181</f>
        <v>9.72578719054423E-2</v>
      </c>
      <c r="F36" s="83" t="s">
        <v>25</v>
      </c>
      <c r="G36" s="84">
        <v>2022</v>
      </c>
      <c r="H36" s="86">
        <f xml:space="preserve"> 142334 / 129671</f>
        <v>1.0976548341572132</v>
      </c>
      <c r="K36" s="83" t="s">
        <v>26</v>
      </c>
      <c r="L36" s="84">
        <v>2022</v>
      </c>
      <c r="M36" s="86">
        <f xml:space="preserve"> 303948 / 72714</f>
        <v>4.1800478587342189</v>
      </c>
      <c r="P36" s="83" t="s">
        <v>27</v>
      </c>
      <c r="Q36" s="84">
        <v>2022</v>
      </c>
      <c r="R36" s="87">
        <v>29.2</v>
      </c>
    </row>
    <row r="37" spans="1:18">
      <c r="A37" s="42" t="s">
        <v>31</v>
      </c>
      <c r="B37" s="41">
        <v>2022</v>
      </c>
      <c r="C37" s="43">
        <f xml:space="preserve"> 36113 / 622181</f>
        <v>5.8042595321940081E-2</v>
      </c>
      <c r="F37" s="42" t="s">
        <v>73</v>
      </c>
      <c r="G37" s="41">
        <v>2022</v>
      </c>
      <c r="H37" s="45">
        <f xml:space="preserve"> (142334 - 94979 - 2832) / 129671</f>
        <v>0.3433535640197114</v>
      </c>
      <c r="K37" s="88" t="s">
        <v>33</v>
      </c>
      <c r="L37" s="41">
        <v>2022</v>
      </c>
      <c r="M37" s="45">
        <f xml:space="preserve"> (303948 - 167468 - 45714)/ 72714</f>
        <v>1.2482603075061198</v>
      </c>
      <c r="P37" s="42" t="s">
        <v>34</v>
      </c>
      <c r="Q37" s="41">
        <v>2022</v>
      </c>
      <c r="R37" s="44">
        <v>2.21</v>
      </c>
    </row>
    <row r="38" spans="1:18">
      <c r="A38" s="42" t="s">
        <v>38</v>
      </c>
      <c r="B38" s="41">
        <v>2022</v>
      </c>
      <c r="C38" s="43">
        <f xml:space="preserve"> 36113 / ((376662 + 342924) / 2)</f>
        <v>0.1003716025603611</v>
      </c>
      <c r="F38" s="42" t="s">
        <v>39</v>
      </c>
      <c r="G38" s="41">
        <v>2022</v>
      </c>
      <c r="H38" s="45">
        <f xml:space="preserve"> 36699 / 129671</f>
        <v>0.28301624881430698</v>
      </c>
      <c r="K38" s="42" t="s">
        <v>40</v>
      </c>
      <c r="L38" s="41">
        <v>2022</v>
      </c>
      <c r="M38" s="45">
        <f xml:space="preserve"> 60512 / 10019</f>
        <v>6.0397245234055292</v>
      </c>
      <c r="P38" s="42" t="s">
        <v>41</v>
      </c>
      <c r="Q38" s="41">
        <v>2022</v>
      </c>
      <c r="R38" s="43">
        <f xml:space="preserve"> 12 / 29.2</f>
        <v>0.41095890410958907</v>
      </c>
    </row>
    <row r="39" spans="1:18">
      <c r="A39" s="42" t="s">
        <v>47</v>
      </c>
      <c r="B39" s="41">
        <v>2022</v>
      </c>
      <c r="C39" s="43">
        <f xml:space="preserve"> 36113 / 72714</f>
        <v>0.49664438760073715</v>
      </c>
      <c r="F39" s="42" t="s">
        <v>48</v>
      </c>
      <c r="G39" s="41">
        <v>2022</v>
      </c>
      <c r="H39" s="45">
        <f xml:space="preserve"> (((94979 + 80486) / 2) / 321106) * 365</f>
        <v>99.725207563857424</v>
      </c>
      <c r="K39" s="42" t="s">
        <v>49</v>
      </c>
      <c r="L39" s="41">
        <v>2022</v>
      </c>
      <c r="M39" s="45">
        <f xml:space="preserve"> 72714 / 376662</f>
        <v>0.19304840944932061</v>
      </c>
      <c r="P39" s="42" t="s">
        <v>50</v>
      </c>
      <c r="Q39" s="41">
        <v>2022</v>
      </c>
      <c r="R39" s="44">
        <f xml:space="preserve"> R37 / (R36/100)</f>
        <v>7.5684931506849322</v>
      </c>
    </row>
    <row r="40" spans="1:18">
      <c r="A40" s="42" t="s">
        <v>55</v>
      </c>
      <c r="B40" s="41">
        <v>2022</v>
      </c>
      <c r="C40" s="43">
        <f xml:space="preserve"> (622181 - 576071) / 576071</f>
        <v>8.0042217018388359E-2</v>
      </c>
      <c r="F40" s="42" t="s">
        <v>56</v>
      </c>
      <c r="G40" s="41">
        <v>2022</v>
      </c>
      <c r="H40" s="45">
        <f>(((0 + 633) / 2) / 622181) * 365</f>
        <v>0.18567346158111547</v>
      </c>
      <c r="K40" s="42" t="s">
        <v>57</v>
      </c>
      <c r="L40" s="41">
        <v>2022</v>
      </c>
      <c r="M40" s="45">
        <f xml:space="preserve"> 174277 / 72714</f>
        <v>2.3967461561735015</v>
      </c>
      <c r="P40" s="42" t="s">
        <v>58</v>
      </c>
      <c r="Q40" s="41">
        <v>2022</v>
      </c>
      <c r="R40" s="43">
        <f xml:space="preserve"> (12/100) / 2.21</f>
        <v>5.4298642533936653E-2</v>
      </c>
    </row>
    <row r="41" spans="1:18">
      <c r="A41" s="42" t="s">
        <v>63</v>
      </c>
      <c r="B41" s="41">
        <v>2022</v>
      </c>
      <c r="C41" s="40">
        <f xml:space="preserve"> 622181 / ((376662 + 342924) / 2)</f>
        <v>1.7292748886165101</v>
      </c>
      <c r="F41" s="42" t="s">
        <v>64</v>
      </c>
      <c r="G41" s="41">
        <v>2022</v>
      </c>
      <c r="H41" s="40">
        <f xml:space="preserve"> (((33346 + 28238) / 2) / 321106) * 365</f>
        <v>35.001152267475533</v>
      </c>
      <c r="K41" s="42" t="s">
        <v>74</v>
      </c>
      <c r="L41" s="41">
        <v>2022</v>
      </c>
      <c r="M41" s="45">
        <f xml:space="preserve"> (174277 - 167468) / 72714</f>
        <v>9.3640839453200203E-2</v>
      </c>
    </row>
    <row r="42" spans="1:18">
      <c r="A42" s="42" t="s">
        <v>68</v>
      </c>
      <c r="B42" s="41">
        <v>2022</v>
      </c>
      <c r="C42" s="40">
        <f xml:space="preserve"> 622181 / ((234328 + 220772) / 2)</f>
        <v>2.7342606020654801</v>
      </c>
    </row>
    <row r="43" spans="1:18">
      <c r="A43" s="42" t="s">
        <v>70</v>
      </c>
      <c r="B43" s="41">
        <v>2022</v>
      </c>
      <c r="C43" s="40">
        <f xml:space="preserve"> 622181 / ((15185 + 9763) / 2)</f>
        <v>49.878226711560046</v>
      </c>
    </row>
    <row r="44" spans="1:18">
      <c r="F44" s="55"/>
    </row>
    <row r="45" spans="1:18">
      <c r="F45" s="56"/>
    </row>
    <row r="46" spans="1:18">
      <c r="F46" s="56"/>
    </row>
    <row r="47" spans="1:18">
      <c r="F47" s="5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B6AA-43FA-43DE-8429-92357894AF6F}">
  <dimension ref="A1:S401"/>
  <sheetViews>
    <sheetView showGridLines="0" tabSelected="1" topLeftCell="A11" zoomScale="87" zoomScaleNormal="65" workbookViewId="0">
      <selection activeCell="Q37" sqref="Q37"/>
    </sheetView>
  </sheetViews>
  <sheetFormatPr defaultRowHeight="14.45"/>
  <cols>
    <col min="1" max="1" width="25.5703125" customWidth="1"/>
    <col min="2" max="2" width="7.42578125" customWidth="1"/>
    <col min="3" max="3" width="7.85546875" customWidth="1"/>
    <col min="4" max="4" width="15.85546875" customWidth="1"/>
    <col min="5" max="5" width="18.140625" customWidth="1"/>
    <col min="6" max="6" width="11.5703125" customWidth="1"/>
    <col min="7" max="7" width="11.5703125" bestFit="1" customWidth="1"/>
    <col min="8" max="8" width="8.7109375" customWidth="1"/>
    <col min="9" max="9" width="0.85546875" customWidth="1"/>
    <col min="10" max="10" width="1.140625" customWidth="1"/>
    <col min="11" max="11" width="38.85546875" customWidth="1"/>
    <col min="12" max="12" width="18.140625" customWidth="1"/>
    <col min="13" max="13" width="14.42578125" customWidth="1"/>
    <col min="14" max="14" width="8" customWidth="1"/>
    <col min="15" max="15" width="6.28515625" customWidth="1"/>
    <col min="16" max="16" width="17.140625" customWidth="1"/>
    <col min="17" max="17" width="34.7109375" customWidth="1"/>
    <col min="18" max="18" width="6.85546875" customWidth="1"/>
    <col min="19" max="19" width="7.85546875" customWidth="1"/>
    <col min="20" max="20" width="8.7109375" customWidth="1"/>
    <col min="38" max="38" width="68.42578125" customWidth="1"/>
  </cols>
  <sheetData>
    <row r="1" spans="17:19">
      <c r="Q1" s="1" t="s">
        <v>18</v>
      </c>
      <c r="R1" s="103" t="s">
        <v>19</v>
      </c>
      <c r="S1" s="103" t="s">
        <v>20</v>
      </c>
    </row>
    <row r="2" spans="17:19">
      <c r="Q2" s="69" t="s">
        <v>24</v>
      </c>
      <c r="R2" s="16"/>
      <c r="S2" s="71"/>
    </row>
    <row r="3" spans="17:19">
      <c r="Q3" s="4"/>
      <c r="R3" s="27">
        <v>2024</v>
      </c>
      <c r="S3" s="72">
        <f xml:space="preserve"> (162.7 / 2649.9)</f>
        <v>6.1398543341258154E-2</v>
      </c>
    </row>
    <row r="4" spans="17:19">
      <c r="Q4" s="4" t="s">
        <v>28</v>
      </c>
      <c r="R4" s="27">
        <v>2023</v>
      </c>
      <c r="S4" s="72">
        <f xml:space="preserve"> (196.2 / 2765.2)</f>
        <v>7.095327643570086E-2</v>
      </c>
    </row>
    <row r="5" spans="17:19">
      <c r="Q5" s="4"/>
      <c r="R5" s="27">
        <v>2022</v>
      </c>
      <c r="S5" s="72">
        <f xml:space="preserve"> (184.2 / 2502.3)</f>
        <v>7.3612276705430996E-2</v>
      </c>
    </row>
    <row r="6" spans="17:19">
      <c r="Q6" s="69" t="s">
        <v>31</v>
      </c>
      <c r="R6" s="28"/>
      <c r="S6" s="73"/>
    </row>
    <row r="7" spans="17:19">
      <c r="Q7" s="4"/>
      <c r="R7" s="27">
        <v>2024</v>
      </c>
      <c r="S7" s="72">
        <f xml:space="preserve"> (52.6 / 2649.9)</f>
        <v>1.984980565304351E-2</v>
      </c>
    </row>
    <row r="8" spans="17:19">
      <c r="Q8" s="4" t="s">
        <v>35</v>
      </c>
      <c r="R8" s="27">
        <v>2023</v>
      </c>
      <c r="S8" s="72">
        <f xml:space="preserve"> (71.1 / 2765.2)</f>
        <v>2.5712425864313611E-2</v>
      </c>
    </row>
    <row r="9" spans="17:19">
      <c r="Q9" s="4"/>
      <c r="R9" s="27">
        <v>2022</v>
      </c>
      <c r="S9" s="72">
        <f xml:space="preserve"> (60.2 / 2502.3)</f>
        <v>2.4057866762578428E-2</v>
      </c>
    </row>
    <row r="10" spans="17:19">
      <c r="Q10" s="69" t="s">
        <v>38</v>
      </c>
      <c r="R10" s="28"/>
      <c r="S10" s="73"/>
    </row>
    <row r="11" spans="17:19">
      <c r="Q11" s="4"/>
      <c r="R11" s="27">
        <v>2024</v>
      </c>
      <c r="S11" s="72">
        <f xml:space="preserve"> 52.6 / ((2375.5 + 2436.8) / 2)</f>
        <v>2.1860648754233943E-2</v>
      </c>
    </row>
    <row r="12" spans="17:19">
      <c r="Q12" s="4" t="s">
        <v>42</v>
      </c>
      <c r="R12" s="27">
        <v>2023</v>
      </c>
      <c r="S12" s="72">
        <f xml:space="preserve"> 71.1 / ((2436.8 + 2550.6) / 2)</f>
        <v>2.851184986165136E-2</v>
      </c>
    </row>
    <row r="13" spans="17:19">
      <c r="Q13" s="70" t="s">
        <v>46</v>
      </c>
      <c r="R13" s="27">
        <v>2022</v>
      </c>
      <c r="S13" s="72">
        <f xml:space="preserve"> 60.2 / ((2550.6 + 2468.1) / 2)</f>
        <v>2.3990276366389705E-2</v>
      </c>
    </row>
    <row r="14" spans="17:19">
      <c r="Q14" s="69" t="s">
        <v>47</v>
      </c>
      <c r="R14" s="28"/>
      <c r="S14" s="73"/>
    </row>
    <row r="15" spans="17:19">
      <c r="Q15" s="4"/>
      <c r="R15" s="27">
        <v>2024</v>
      </c>
      <c r="S15" s="72">
        <f xml:space="preserve"> 52.6 / 255</f>
        <v>0.20627450980392156</v>
      </c>
    </row>
    <row r="16" spans="17:19">
      <c r="Q16" s="4" t="s">
        <v>51</v>
      </c>
      <c r="R16" s="27">
        <v>2023</v>
      </c>
      <c r="S16" s="72">
        <f xml:space="preserve"> 71.1 / 240.5</f>
        <v>0.29563409563409559</v>
      </c>
    </row>
    <row r="17" spans="1:19">
      <c r="Q17" s="4"/>
      <c r="R17" s="27">
        <v>2022</v>
      </c>
      <c r="S17" s="72">
        <f xml:space="preserve"> 60.2 / 267.4</f>
        <v>0.22513089005235606</v>
      </c>
    </row>
    <row r="18" spans="1:19">
      <c r="Q18" s="69" t="s">
        <v>55</v>
      </c>
      <c r="R18" s="28"/>
      <c r="S18" s="71"/>
    </row>
    <row r="19" spans="1:19">
      <c r="Q19" s="4"/>
      <c r="R19" s="27">
        <v>2024</v>
      </c>
      <c r="S19" s="72">
        <f xml:space="preserve"> (2649.9 - 2765.2) / 2765.2</f>
        <v>-4.1696803124547856E-2</v>
      </c>
    </row>
    <row r="20" spans="1:19">
      <c r="Q20" s="4" t="s">
        <v>59</v>
      </c>
      <c r="R20" s="27">
        <v>2023</v>
      </c>
      <c r="S20" s="72">
        <f xml:space="preserve"> (2765.2 - 2502.3) / 2502.3</f>
        <v>0.10506334172561228</v>
      </c>
    </row>
    <row r="21" spans="1:19">
      <c r="Q21" s="4"/>
      <c r="R21" s="27">
        <v>2022</v>
      </c>
      <c r="S21" s="72">
        <f xml:space="preserve"> (2502.3 - 2250.4) / 2250.4</f>
        <v>0.11193565588339854</v>
      </c>
    </row>
    <row r="22" spans="1:19">
      <c r="Q22" s="69" t="s">
        <v>63</v>
      </c>
      <c r="R22" s="28"/>
      <c r="S22" s="71"/>
    </row>
    <row r="23" spans="1:19">
      <c r="Q23" s="4"/>
      <c r="R23" s="27">
        <v>2024</v>
      </c>
      <c r="S23" s="36">
        <f xml:space="preserve"> 3266.1 / ((2375.5 + 2436.8) / 2)</f>
        <v>1.3573966710304843</v>
      </c>
    </row>
    <row r="24" spans="1:19">
      <c r="Q24" s="4" t="s">
        <v>66</v>
      </c>
      <c r="R24" s="27">
        <v>2023</v>
      </c>
      <c r="S24" s="36">
        <f xml:space="preserve"> 3362.9 / ((2436.8 + 2550.6) / 2)</f>
        <v>1.3485583670850545</v>
      </c>
    </row>
    <row r="25" spans="1:19">
      <c r="Q25" s="4"/>
      <c r="R25" s="27">
        <v>2022</v>
      </c>
      <c r="S25" s="36">
        <f xml:space="preserve"> 2989.8 / ((2550.6 + 2468.1) / 2)</f>
        <v>1.1914639249207963</v>
      </c>
    </row>
    <row r="26" spans="1:19">
      <c r="Q26" s="69" t="s">
        <v>68</v>
      </c>
      <c r="R26" s="28"/>
      <c r="S26" s="71"/>
    </row>
    <row r="27" spans="1:19">
      <c r="Q27" s="4"/>
      <c r="R27" s="27">
        <v>2024</v>
      </c>
      <c r="S27" s="36">
        <f xml:space="preserve"> 3266.1 / ((1791.4 + 1851.4) / 2)</f>
        <v>1.7931810695069725</v>
      </c>
    </row>
    <row r="28" spans="1:19">
      <c r="Q28" s="4" t="s">
        <v>69</v>
      </c>
      <c r="R28" s="27">
        <v>2023</v>
      </c>
      <c r="S28" s="36">
        <f xml:space="preserve"> 3362.9 / ((1851.4 + 1901.6) / 2)</f>
        <v>1.7921129762856383</v>
      </c>
    </row>
    <row r="29" spans="1:19">
      <c r="Q29" s="4"/>
      <c r="R29" s="27">
        <v>2022</v>
      </c>
      <c r="S29" s="36">
        <f xml:space="preserve"> 2989.8 / ((1901.6 + 1961.2) / 2)</f>
        <v>1.5479962721342031</v>
      </c>
    </row>
    <row r="30" spans="1:19">
      <c r="A30" s="1" t="s">
        <v>72</v>
      </c>
      <c r="B30" t="s">
        <v>19</v>
      </c>
      <c r="C30" t="s">
        <v>20</v>
      </c>
      <c r="Q30" s="69" t="s">
        <v>70</v>
      </c>
      <c r="R30" s="28"/>
      <c r="S30" s="71"/>
    </row>
    <row r="31" spans="1:19">
      <c r="A31" s="83" t="s">
        <v>24</v>
      </c>
      <c r="B31" s="84">
        <v>2022</v>
      </c>
      <c r="C31" s="85">
        <f xml:space="preserve"> 60512 / 622181</f>
        <v>9.72578719054423E-2</v>
      </c>
      <c r="Q31" s="4"/>
      <c r="R31" s="27">
        <v>2024</v>
      </c>
      <c r="S31" s="36">
        <f xml:space="preserve"> 3266.1 / ((317.4 + 321.7) / 2)</f>
        <v>10.22093569081521</v>
      </c>
    </row>
    <row r="32" spans="1:19">
      <c r="A32" s="42" t="s">
        <v>31</v>
      </c>
      <c r="B32" s="41">
        <v>2022</v>
      </c>
      <c r="C32" s="43">
        <f xml:space="preserve"> 36113 / 622181</f>
        <v>5.8042595321940081E-2</v>
      </c>
      <c r="F32" s="104"/>
      <c r="Q32" s="4" t="s">
        <v>71</v>
      </c>
      <c r="R32" s="27">
        <v>2023</v>
      </c>
      <c r="S32" s="36">
        <f xml:space="preserve"> 3362.9 / ((321.7 + 305) / 2)</f>
        <v>10.732088718685176</v>
      </c>
    </row>
    <row r="33" spans="1:19">
      <c r="A33" s="42" t="s">
        <v>38</v>
      </c>
      <c r="B33" s="41">
        <v>2022</v>
      </c>
      <c r="C33" s="43">
        <f xml:space="preserve"> 36113 / ((376662 + 342924) / 2)</f>
        <v>0.1003716025603611</v>
      </c>
      <c r="F33" s="104"/>
      <c r="Q33" s="4"/>
      <c r="R33" s="30">
        <v>2022</v>
      </c>
      <c r="S33" s="36">
        <f xml:space="preserve"> 2989.8 / ((305 + 318.5) / 2)</f>
        <v>9.5903769045709701</v>
      </c>
    </row>
    <row r="34" spans="1:19">
      <c r="A34" s="42" t="s">
        <v>47</v>
      </c>
      <c r="B34" s="41">
        <v>2022</v>
      </c>
      <c r="C34" s="43">
        <f xml:space="preserve"> 36113 / 72714</f>
        <v>0.49664438760073715</v>
      </c>
      <c r="F34" s="57"/>
    </row>
    <row r="35" spans="1:19">
      <c r="A35" s="42" t="s">
        <v>55</v>
      </c>
      <c r="B35" s="41">
        <v>2022</v>
      </c>
      <c r="C35" s="43">
        <f xml:space="preserve"> (622181 - 576071) / 576071</f>
        <v>8.0042217018388359E-2</v>
      </c>
    </row>
    <row r="36" spans="1:19">
      <c r="A36" s="42" t="s">
        <v>63</v>
      </c>
      <c r="B36" s="41">
        <v>2022</v>
      </c>
      <c r="C36" s="40">
        <f xml:space="preserve"> 622181 / ((376662 + 342924) / 2)</f>
        <v>1.7292748886165101</v>
      </c>
    </row>
    <row r="37" spans="1:19">
      <c r="A37" s="42" t="s">
        <v>68</v>
      </c>
      <c r="B37" s="41">
        <v>2022</v>
      </c>
      <c r="C37" s="40">
        <f xml:space="preserve"> 622181 / ((234328 + 220772) / 2)</f>
        <v>2.7342606020654801</v>
      </c>
    </row>
    <row r="38" spans="1:19">
      <c r="A38" s="74" t="s">
        <v>70</v>
      </c>
      <c r="B38" s="54">
        <v>2022</v>
      </c>
      <c r="C38" s="47">
        <f xml:space="preserve"> 622181 / ((15185 + 9763) / 2)</f>
        <v>49.878226711560046</v>
      </c>
    </row>
    <row r="165" spans="6:7">
      <c r="F165" s="57">
        <v>0.112</v>
      </c>
      <c r="G165" s="57">
        <v>0.159</v>
      </c>
    </row>
    <row r="399" spans="11:12">
      <c r="K399" s="106">
        <v>2.4E-2</v>
      </c>
      <c r="L399" s="92">
        <f xml:space="preserve"> 60.2 / 267.4</f>
        <v>0.22513089005235606</v>
      </c>
    </row>
    <row r="400" spans="11:12">
      <c r="K400" s="106">
        <v>2.8500000000000001E-2</v>
      </c>
      <c r="L400" s="93">
        <f xml:space="preserve"> 71.1 / 240.5</f>
        <v>0.29563409563409559</v>
      </c>
    </row>
    <row r="401" spans="11:12">
      <c r="K401" s="106">
        <v>2.1899999999999999E-2</v>
      </c>
      <c r="L401" s="92">
        <f xml:space="preserve"> 52.6 / 255</f>
        <v>0.20627450980392156</v>
      </c>
    </row>
  </sheetData>
  <phoneticPr fontId="25" type="noConversion"/>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F97F-5117-4D4A-B0DF-E044F628F477}">
  <dimension ref="A8:V52"/>
  <sheetViews>
    <sheetView showGridLines="0" zoomScale="94" zoomScaleNormal="85" workbookViewId="0">
      <selection activeCell="Q28" sqref="Q28"/>
    </sheetView>
  </sheetViews>
  <sheetFormatPr defaultRowHeight="14.45"/>
  <cols>
    <col min="1" max="1" width="26.140625" customWidth="1"/>
    <col min="17" max="17" width="28.7109375" bestFit="1" customWidth="1"/>
    <col min="18" max="18" width="11.42578125" bestFit="1" customWidth="1"/>
    <col min="19" max="20" width="8.5703125" customWidth="1"/>
    <col min="24" max="24" width="28.85546875" bestFit="1" customWidth="1"/>
    <col min="25" max="25" width="14.5703125" bestFit="1" customWidth="1"/>
    <col min="26" max="26" width="12.5703125" bestFit="1" customWidth="1"/>
  </cols>
  <sheetData>
    <row r="8" spans="17:18">
      <c r="Q8" s="64" t="s">
        <v>75</v>
      </c>
      <c r="R8" t="s">
        <v>76</v>
      </c>
    </row>
    <row r="9" spans="17:18">
      <c r="Q9" s="68" t="s">
        <v>32</v>
      </c>
      <c r="R9" s="67">
        <v>0.35033333333333333</v>
      </c>
    </row>
    <row r="10" spans="17:18">
      <c r="Q10" s="65" t="s">
        <v>77</v>
      </c>
      <c r="R10" s="66">
        <v>0.3433535640197114</v>
      </c>
    </row>
    <row r="11" spans="17:18">
      <c r="Q11" s="65" t="s">
        <v>78</v>
      </c>
      <c r="R11" s="66">
        <v>0.18567346158111547</v>
      </c>
    </row>
    <row r="12" spans="17:18">
      <c r="Q12" s="68" t="s">
        <v>56</v>
      </c>
      <c r="R12" s="67">
        <v>1.3</v>
      </c>
    </row>
    <row r="13" spans="17:18">
      <c r="Q13" s="65" t="s">
        <v>79</v>
      </c>
      <c r="R13" s="66">
        <v>35.001152267475533</v>
      </c>
    </row>
    <row r="14" spans="17:18">
      <c r="Q14" s="68" t="s">
        <v>64</v>
      </c>
      <c r="R14" s="67">
        <v>47.410000000000004</v>
      </c>
    </row>
    <row r="15" spans="17:18">
      <c r="Q15" s="65" t="s">
        <v>80</v>
      </c>
      <c r="R15" s="66">
        <v>99.725207563857424</v>
      </c>
    </row>
    <row r="16" spans="17:18">
      <c r="Q16" s="68" t="s">
        <v>48</v>
      </c>
      <c r="R16" s="67">
        <v>90.77</v>
      </c>
    </row>
    <row r="17" spans="17:18">
      <c r="Q17" s="65" t="s">
        <v>81</v>
      </c>
      <c r="R17" s="66">
        <v>1.0976548341572132</v>
      </c>
    </row>
    <row r="18" spans="17:18">
      <c r="Q18" s="68" t="s">
        <v>25</v>
      </c>
      <c r="R18" s="67">
        <v>0.92666666666666675</v>
      </c>
    </row>
    <row r="19" spans="17:18">
      <c r="Q19" s="65" t="s">
        <v>82</v>
      </c>
      <c r="R19" s="66">
        <v>0.28301624881430698</v>
      </c>
    </row>
    <row r="20" spans="17:18">
      <c r="Q20" s="68" t="s">
        <v>83</v>
      </c>
      <c r="R20" s="67">
        <v>0.3066666666666667</v>
      </c>
    </row>
    <row r="34" spans="1:22">
      <c r="A34" s="110" t="s">
        <v>84</v>
      </c>
      <c r="B34" s="107" t="s">
        <v>19</v>
      </c>
      <c r="C34" s="108" t="s">
        <v>20</v>
      </c>
    </row>
    <row r="35" spans="1:22">
      <c r="A35" s="83" t="s">
        <v>25</v>
      </c>
      <c r="B35" s="111">
        <v>2022</v>
      </c>
      <c r="C35" s="86">
        <f xml:space="preserve"> 142334 / 129671</f>
        <v>1.0976548341572132</v>
      </c>
    </row>
    <row r="36" spans="1:22">
      <c r="A36" s="112" t="s">
        <v>73</v>
      </c>
      <c r="B36" s="113">
        <v>2022</v>
      </c>
      <c r="C36" s="45">
        <f xml:space="preserve"> (142334 - 94979 - 2832) / 129671</f>
        <v>0.3433535640197114</v>
      </c>
    </row>
    <row r="37" spans="1:22">
      <c r="A37" s="112" t="s">
        <v>85</v>
      </c>
      <c r="B37" s="114">
        <v>2022</v>
      </c>
      <c r="C37" s="45">
        <f xml:space="preserve"> 36699 / 129671</f>
        <v>0.28301624881430698</v>
      </c>
    </row>
    <row r="38" spans="1:22">
      <c r="A38" s="112" t="s">
        <v>48</v>
      </c>
      <c r="B38" s="113">
        <v>2022</v>
      </c>
      <c r="C38" s="45">
        <f xml:space="preserve"> (((94979 + 80486) / 2) / 321106) * 365</f>
        <v>99.725207563857424</v>
      </c>
    </row>
    <row r="39" spans="1:22" ht="13.5" customHeight="1">
      <c r="A39" s="112" t="s">
        <v>56</v>
      </c>
      <c r="B39" s="114">
        <v>2022</v>
      </c>
      <c r="C39" s="45">
        <f>(((0 + 633) / 2) / 622181) * 365</f>
        <v>0.18567346158111547</v>
      </c>
      <c r="S39" s="55"/>
      <c r="T39" s="55"/>
      <c r="U39" s="55"/>
      <c r="V39" s="55"/>
    </row>
    <row r="40" spans="1:22">
      <c r="A40" s="112" t="s">
        <v>64</v>
      </c>
      <c r="B40" s="113">
        <v>2022</v>
      </c>
      <c r="C40" s="40">
        <f xml:space="preserve"> (((33346 + 28238) / 2) / 321106) * 365</f>
        <v>35.001152267475533</v>
      </c>
      <c r="S40" s="56"/>
      <c r="T40" s="56"/>
      <c r="U40" s="56"/>
      <c r="V40" s="56"/>
    </row>
    <row r="41" spans="1:22">
      <c r="S41" s="56"/>
      <c r="T41" s="56"/>
      <c r="U41" s="56"/>
      <c r="V41" s="56"/>
    </row>
    <row r="42" spans="1:22">
      <c r="S42" s="56"/>
      <c r="T42" s="56"/>
      <c r="U42" s="56"/>
      <c r="V42" s="56"/>
    </row>
    <row r="45" spans="1:22">
      <c r="K45" s="118"/>
    </row>
    <row r="47" spans="1:22" ht="15.95">
      <c r="A47" s="52"/>
    </row>
    <row r="48" spans="1:22" ht="15.95">
      <c r="A48" s="52"/>
    </row>
    <row r="49" spans="1:18" ht="15.95">
      <c r="A49" s="52"/>
    </row>
    <row r="50" spans="1:18" ht="15.95">
      <c r="A50" s="52"/>
      <c r="E50" s="52"/>
    </row>
    <row r="51" spans="1:18" ht="15.95">
      <c r="E51" s="52"/>
      <c r="R51" t="s">
        <v>86</v>
      </c>
    </row>
    <row r="52" spans="1:18" ht="15.95">
      <c r="E52" s="52"/>
    </row>
  </sheetData>
  <phoneticPr fontId="2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7A26-44AE-4F06-803A-3574BFD1813B}">
  <dimension ref="A1:O37"/>
  <sheetViews>
    <sheetView showGridLines="0" zoomScale="88" zoomScaleNormal="70" workbookViewId="0">
      <selection activeCell="G39" sqref="G39"/>
    </sheetView>
  </sheetViews>
  <sheetFormatPr defaultRowHeight="14.45"/>
  <cols>
    <col min="1" max="1" width="40.5703125" customWidth="1"/>
    <col min="2" max="2" width="7.85546875" customWidth="1"/>
    <col min="3" max="3" width="8.5703125" customWidth="1"/>
    <col min="4" max="4" width="50.5703125" customWidth="1"/>
    <col min="5" max="6" width="11.5703125" bestFit="1" customWidth="1"/>
    <col min="8" max="8" width="0.140625" customWidth="1"/>
    <col min="9" max="9" width="11.5703125" bestFit="1" customWidth="1"/>
    <col min="10" max="10" width="7.42578125" customWidth="1"/>
    <col min="11" max="11" width="5.85546875" customWidth="1"/>
    <col min="12" max="12" width="7.85546875" customWidth="1"/>
    <col min="13" max="13" width="46.28515625" customWidth="1"/>
    <col min="14" max="14" width="7.5703125" customWidth="1"/>
    <col min="15" max="15" width="7.7109375" customWidth="1"/>
  </cols>
  <sheetData>
    <row r="1" spans="13:15">
      <c r="M1" s="91" t="s">
        <v>22</v>
      </c>
      <c r="N1" s="102" t="s">
        <v>19</v>
      </c>
      <c r="O1" s="101" t="s">
        <v>20</v>
      </c>
    </row>
    <row r="2" spans="13:15">
      <c r="M2" s="90" t="s">
        <v>26</v>
      </c>
      <c r="N2" s="16"/>
      <c r="O2" s="71"/>
    </row>
    <row r="3" spans="13:15">
      <c r="N3" s="30">
        <v>2024</v>
      </c>
      <c r="O3" s="94">
        <f>(2120.5/255)</f>
        <v>8.3156862745098046</v>
      </c>
    </row>
    <row r="4" spans="13:15">
      <c r="M4" t="s">
        <v>30</v>
      </c>
      <c r="N4" s="30">
        <v>2023</v>
      </c>
      <c r="O4" s="94">
        <f>(2196.3/240.5)</f>
        <v>9.1322245322245337</v>
      </c>
    </row>
    <row r="5" spans="13:15">
      <c r="N5" s="29">
        <v>2022</v>
      </c>
      <c r="O5" s="95">
        <f xml:space="preserve"> (2283.2 / 267.4)</f>
        <v>8.5385190725504856</v>
      </c>
    </row>
    <row r="6" spans="13:15">
      <c r="M6" s="17" t="s">
        <v>33</v>
      </c>
      <c r="N6" s="16"/>
      <c r="O6" s="96"/>
    </row>
    <row r="7" spans="13:15">
      <c r="N7" s="30">
        <v>2024</v>
      </c>
      <c r="O7" s="97">
        <f>(2120.5 - 1405.2 - 161.9) / 255</f>
        <v>2.1701960784313723</v>
      </c>
    </row>
    <row r="8" spans="13:15">
      <c r="M8" t="s">
        <v>30</v>
      </c>
      <c r="N8" s="30">
        <v>2023</v>
      </c>
      <c r="O8" s="94">
        <f>(2196.3 - 1490.6 - 154.3)/240.5</f>
        <v>2.2927234927234941</v>
      </c>
    </row>
    <row r="9" spans="13:15">
      <c r="N9" s="29">
        <v>2022</v>
      </c>
      <c r="O9" s="98">
        <f xml:space="preserve"> (2283.2 - 1555 - 144.2)/ 267.4</f>
        <v>2.1839940164547489</v>
      </c>
    </row>
    <row r="10" spans="13:15">
      <c r="M10" s="17" t="s">
        <v>40</v>
      </c>
      <c r="N10" s="39"/>
      <c r="O10" s="99"/>
    </row>
    <row r="11" spans="13:15">
      <c r="M11" s="4"/>
      <c r="N11" s="30">
        <v>2024</v>
      </c>
      <c r="O11" s="94">
        <f>162.7/92.8</f>
        <v>1.7532327586206895</v>
      </c>
    </row>
    <row r="12" spans="13:15">
      <c r="M12" s="4" t="s">
        <v>44</v>
      </c>
      <c r="N12" s="30">
        <v>2023</v>
      </c>
      <c r="O12" s="94">
        <f>196.2/96.2</f>
        <v>2.0395010395010393</v>
      </c>
    </row>
    <row r="13" spans="13:15">
      <c r="M13" s="89"/>
      <c r="N13" s="29">
        <v>2022</v>
      </c>
      <c r="O13" s="98">
        <f>184.2/99.2</f>
        <v>1.8568548387096773</v>
      </c>
    </row>
    <row r="14" spans="13:15">
      <c r="M14" s="17" t="s">
        <v>49</v>
      </c>
      <c r="N14" s="39"/>
      <c r="O14" s="99"/>
    </row>
    <row r="15" spans="13:15">
      <c r="M15" s="4"/>
      <c r="N15" s="30">
        <v>2024</v>
      </c>
      <c r="O15" s="94">
        <f xml:space="preserve"> 255 / 2375.5</f>
        <v>0.10734582193222479</v>
      </c>
    </row>
    <row r="16" spans="13:15">
      <c r="M16" s="4" t="s">
        <v>53</v>
      </c>
      <c r="N16" s="30">
        <v>2023</v>
      </c>
      <c r="O16" s="94">
        <f xml:space="preserve"> 240.5 / 2436.8</f>
        <v>9.869500984898226E-2</v>
      </c>
    </row>
    <row r="17" spans="1:15">
      <c r="E17" s="100"/>
      <c r="F17" s="36"/>
      <c r="M17" s="89"/>
      <c r="N17" s="29">
        <v>2022</v>
      </c>
      <c r="O17" s="98">
        <f xml:space="preserve"> 267.4 / 2550.6</f>
        <v>0.10483807731514153</v>
      </c>
    </row>
    <row r="18" spans="1:15">
      <c r="E18" s="100"/>
      <c r="F18" s="36"/>
      <c r="M18" s="17" t="s">
        <v>57</v>
      </c>
      <c r="N18" s="39"/>
      <c r="O18" s="99"/>
    </row>
    <row r="19" spans="1:15">
      <c r="E19" s="100"/>
      <c r="F19" s="36"/>
      <c r="M19" s="4"/>
      <c r="N19" s="30">
        <v>2024</v>
      </c>
      <c r="O19" s="94">
        <f xml:space="preserve"> 1474.2 / 255</f>
        <v>5.7811764705882354</v>
      </c>
    </row>
    <row r="20" spans="1:15">
      <c r="E20" s="100"/>
      <c r="F20" s="36"/>
      <c r="M20" s="4" t="s">
        <v>61</v>
      </c>
      <c r="N20" s="30">
        <v>2023</v>
      </c>
      <c r="O20" s="94">
        <f xml:space="preserve"> 1555.6 / 240.5</f>
        <v>6.4681912681912674</v>
      </c>
    </row>
    <row r="21" spans="1:15">
      <c r="E21" s="100"/>
      <c r="F21" s="36"/>
      <c r="M21" s="89"/>
      <c r="N21" s="29">
        <v>2022</v>
      </c>
      <c r="O21" s="98">
        <f xml:space="preserve"> 1617.5 / 267.4</f>
        <v>6.0489902767389685</v>
      </c>
    </row>
    <row r="22" spans="1:15">
      <c r="E22" s="100"/>
      <c r="F22" s="36"/>
      <c r="M22" s="17" t="s">
        <v>65</v>
      </c>
      <c r="N22" s="39"/>
      <c r="O22" s="99"/>
    </row>
    <row r="23" spans="1:15">
      <c r="E23" s="100"/>
      <c r="F23" s="36"/>
      <c r="M23" s="4"/>
      <c r="N23" s="30">
        <v>2024</v>
      </c>
      <c r="O23" s="94">
        <f xml:space="preserve"> (1474.2 - 1405.2) / 255</f>
        <v>0.27058823529411763</v>
      </c>
    </row>
    <row r="24" spans="1:15">
      <c r="M24" s="4" t="s">
        <v>61</v>
      </c>
      <c r="N24" s="30">
        <v>2023</v>
      </c>
      <c r="O24" s="94">
        <f xml:space="preserve"> (1555.6 - 1490.6) / 240.5</f>
        <v>0.27027027027027029</v>
      </c>
    </row>
    <row r="25" spans="1:15">
      <c r="N25" s="30">
        <v>2022</v>
      </c>
      <c r="O25" s="97">
        <f xml:space="preserve"> (1617.5 - 1555) / 267.4</f>
        <v>0.23373223635003743</v>
      </c>
    </row>
    <row r="31" spans="1:15">
      <c r="A31" t="s">
        <v>87</v>
      </c>
      <c r="B31" t="s">
        <v>19</v>
      </c>
      <c r="C31" t="s">
        <v>20</v>
      </c>
    </row>
    <row r="32" spans="1:15">
      <c r="A32" s="83" t="s">
        <v>26</v>
      </c>
      <c r="B32" s="84">
        <v>2022</v>
      </c>
      <c r="C32" s="86">
        <f xml:space="preserve"> 303948 / 72714</f>
        <v>4.1800478587342189</v>
      </c>
    </row>
    <row r="33" spans="1:3">
      <c r="A33" s="88" t="s">
        <v>33</v>
      </c>
      <c r="B33" s="41">
        <v>2022</v>
      </c>
      <c r="C33" s="45">
        <f xml:space="preserve"> (303948 - 167468 - 45714)/ 72714</f>
        <v>1.2482603075061198</v>
      </c>
    </row>
    <row r="34" spans="1:3">
      <c r="A34" s="42" t="s">
        <v>40</v>
      </c>
      <c r="B34" s="41">
        <v>2022</v>
      </c>
      <c r="C34" s="45">
        <f xml:space="preserve"> 60512 / 10019</f>
        <v>6.0397245234055292</v>
      </c>
    </row>
    <row r="35" spans="1:3">
      <c r="A35" s="42" t="s">
        <v>49</v>
      </c>
      <c r="B35" s="41">
        <v>2022</v>
      </c>
      <c r="C35" s="45">
        <f xml:space="preserve"> 72714 / 376662</f>
        <v>0.19304840944932061</v>
      </c>
    </row>
    <row r="36" spans="1:3">
      <c r="A36" s="42" t="s">
        <v>57</v>
      </c>
      <c r="B36" s="41">
        <v>2022</v>
      </c>
      <c r="C36" s="45">
        <f xml:space="preserve"> 174277 / 72714</f>
        <v>2.3967461561735015</v>
      </c>
    </row>
    <row r="37" spans="1:3">
      <c r="A37" s="74" t="s">
        <v>74</v>
      </c>
      <c r="B37" s="54">
        <v>2022</v>
      </c>
      <c r="C37" s="45">
        <f xml:space="preserve"> (174277 - 167468) / 72714</f>
        <v>9.3640839453200203E-2</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2B39-A0A2-4857-B1E8-7E7643E3E6F7}">
  <dimension ref="A1:P100"/>
  <sheetViews>
    <sheetView showGridLines="0" zoomScale="84" zoomScaleNormal="85" workbookViewId="0">
      <selection activeCell="P18" sqref="P18"/>
    </sheetView>
  </sheetViews>
  <sheetFormatPr defaultRowHeight="14.45"/>
  <cols>
    <col min="1" max="1" width="12.85546875" bestFit="1" customWidth="1"/>
    <col min="2" max="2" width="21.140625" bestFit="1" customWidth="1"/>
    <col min="3" max="3" width="11" bestFit="1" customWidth="1"/>
    <col min="4" max="4" width="18.42578125" bestFit="1" customWidth="1"/>
    <col min="5" max="5" width="19.140625" bestFit="1" customWidth="1"/>
    <col min="6" max="6" width="14.5703125" bestFit="1" customWidth="1"/>
    <col min="9" max="9" width="12.85546875" bestFit="1" customWidth="1"/>
    <col min="10" max="10" width="9.85546875" bestFit="1" customWidth="1"/>
    <col min="12" max="12" width="5.85546875" customWidth="1"/>
    <col min="13" max="13" width="26.5703125" customWidth="1"/>
    <col min="14" max="14" width="5.42578125" customWidth="1"/>
    <col min="15" max="15" width="21.85546875" bestFit="1" customWidth="1"/>
    <col min="16" max="16" width="14.28515625" bestFit="1" customWidth="1"/>
    <col min="17" max="17" width="14.5703125" bestFit="1" customWidth="1"/>
    <col min="18" max="18" width="11.42578125" bestFit="1" customWidth="1"/>
    <col min="19" max="20" width="21.140625" bestFit="1" customWidth="1"/>
    <col min="21" max="21" width="34.5703125" customWidth="1"/>
    <col min="22" max="22" width="21.140625" bestFit="1" customWidth="1"/>
    <col min="23" max="23" width="25.5703125" bestFit="1" customWidth="1"/>
    <col min="24" max="24" width="15.5703125" bestFit="1" customWidth="1"/>
    <col min="25" max="26" width="12.85546875" bestFit="1" customWidth="1"/>
    <col min="27" max="27" width="10.42578125" bestFit="1" customWidth="1"/>
  </cols>
  <sheetData>
    <row r="1" spans="15:16">
      <c r="O1" s="53" t="s">
        <v>88</v>
      </c>
      <c r="P1" t="s">
        <v>89</v>
      </c>
    </row>
    <row r="2" spans="15:16">
      <c r="O2" s="75" t="s">
        <v>27</v>
      </c>
      <c r="P2" s="36">
        <v>6.2</v>
      </c>
    </row>
    <row r="3" spans="15:16">
      <c r="O3" s="75" t="s">
        <v>90</v>
      </c>
      <c r="P3" s="36">
        <v>29.2</v>
      </c>
    </row>
    <row r="4" spans="15:16">
      <c r="O4" s="75" t="s">
        <v>41</v>
      </c>
      <c r="P4" s="57">
        <v>0.85199999999999998</v>
      </c>
    </row>
    <row r="5" spans="15:16">
      <c r="O5" s="75" t="s">
        <v>91</v>
      </c>
      <c r="P5" s="57">
        <v>0.41099999999999998</v>
      </c>
    </row>
    <row r="6" spans="15:16">
      <c r="O6" s="75" t="s">
        <v>92</v>
      </c>
      <c r="P6" s="57">
        <v>8.8766666666666674E-2</v>
      </c>
    </row>
    <row r="7" spans="15:16">
      <c r="O7" s="75" t="s">
        <v>93</v>
      </c>
      <c r="P7" s="57">
        <v>5.4300000000000001E-2</v>
      </c>
    </row>
    <row r="8" spans="15:16">
      <c r="O8" s="75" t="s">
        <v>94</v>
      </c>
      <c r="P8" s="109">
        <v>10.793333333333331</v>
      </c>
    </row>
    <row r="9" spans="15:16">
      <c r="O9" s="75" t="s">
        <v>95</v>
      </c>
      <c r="P9" s="109">
        <v>7.57</v>
      </c>
    </row>
    <row r="10" spans="15:16">
      <c r="O10" s="75" t="s">
        <v>34</v>
      </c>
      <c r="P10" s="36">
        <v>0.64666666666666661</v>
      </c>
    </row>
    <row r="11" spans="15:16">
      <c r="O11" s="75" t="s">
        <v>96</v>
      </c>
      <c r="P11" s="36">
        <v>2.21</v>
      </c>
    </row>
    <row r="29" spans="1:3">
      <c r="A29" s="110" t="s">
        <v>84</v>
      </c>
      <c r="B29" s="107" t="s">
        <v>19</v>
      </c>
      <c r="C29" s="108" t="s">
        <v>20</v>
      </c>
    </row>
    <row r="30" spans="1:3">
      <c r="A30" s="83" t="s">
        <v>27</v>
      </c>
      <c r="B30" s="115">
        <v>2022</v>
      </c>
      <c r="C30" s="87">
        <v>29.2</v>
      </c>
    </row>
    <row r="31" spans="1:3">
      <c r="A31" s="112" t="s">
        <v>34</v>
      </c>
      <c r="B31" s="116">
        <v>2022</v>
      </c>
      <c r="C31" s="44">
        <v>2.21</v>
      </c>
    </row>
    <row r="32" spans="1:3">
      <c r="A32" s="112" t="s">
        <v>97</v>
      </c>
      <c r="B32" s="117">
        <v>2022</v>
      </c>
      <c r="C32" s="43">
        <f xml:space="preserve"> 12 / 29.2</f>
        <v>0.41095890410958907</v>
      </c>
    </row>
    <row r="33" spans="1:3">
      <c r="A33" s="112" t="s">
        <v>50</v>
      </c>
      <c r="B33" s="116">
        <v>2022</v>
      </c>
      <c r="C33" s="44">
        <f xml:space="preserve"> C31 / (C30/100)</f>
        <v>7.5684931506849322</v>
      </c>
    </row>
    <row r="34" spans="1:3">
      <c r="A34" s="112" t="s">
        <v>58</v>
      </c>
      <c r="B34" s="117">
        <v>2022</v>
      </c>
      <c r="C34" s="43">
        <f xml:space="preserve"> (12/100) / 2.21</f>
        <v>5.4298642533936653E-2</v>
      </c>
    </row>
    <row r="80" spans="1:6" ht="15.95">
      <c r="A80" s="63" t="s">
        <v>98</v>
      </c>
      <c r="B80" s="63" t="s">
        <v>99</v>
      </c>
      <c r="C80" s="63"/>
      <c r="D80" s="63"/>
      <c r="E80" s="63"/>
      <c r="F80" s="63"/>
    </row>
    <row r="81" spans="1:10" ht="15.95">
      <c r="A81" s="62" t="s">
        <v>88</v>
      </c>
      <c r="B81" s="62" t="s">
        <v>100</v>
      </c>
      <c r="C81" s="62" t="s">
        <v>101</v>
      </c>
      <c r="D81" s="62" t="s">
        <v>102</v>
      </c>
      <c r="E81" s="62" t="s">
        <v>103</v>
      </c>
      <c r="F81" s="62" t="s">
        <v>104</v>
      </c>
    </row>
    <row r="82" spans="1:10" ht="15.95">
      <c r="A82" s="61">
        <v>2022</v>
      </c>
      <c r="B82" s="60">
        <v>0.41</v>
      </c>
      <c r="C82" s="60">
        <v>0.58209999999999995</v>
      </c>
      <c r="D82" s="60">
        <v>0.66669999999999996</v>
      </c>
      <c r="E82" s="60">
        <v>0.51639999999999997</v>
      </c>
      <c r="F82" s="60">
        <v>2.1751999999999998</v>
      </c>
    </row>
    <row r="83" spans="1:10" ht="15.95">
      <c r="A83" s="61">
        <v>2023</v>
      </c>
      <c r="B83" s="61"/>
      <c r="C83" s="60">
        <v>0.60170000000000001</v>
      </c>
      <c r="D83" s="60">
        <v>1.2161999999999999</v>
      </c>
      <c r="E83" s="60">
        <v>0.55289999999999995</v>
      </c>
      <c r="F83" s="60">
        <v>2.3708</v>
      </c>
    </row>
    <row r="84" spans="1:10" ht="15.95">
      <c r="A84" s="61">
        <v>2024</v>
      </c>
      <c r="B84" s="61"/>
      <c r="C84" s="60">
        <v>0.63</v>
      </c>
      <c r="D84" s="60">
        <v>0.67310000000000003</v>
      </c>
      <c r="E84" s="60">
        <v>0.46870000000000001</v>
      </c>
      <c r="F84" s="60">
        <v>1.7718</v>
      </c>
    </row>
    <row r="85" spans="1:10" ht="15.95">
      <c r="A85" s="59" t="s">
        <v>104</v>
      </c>
      <c r="B85" s="58">
        <v>0.41</v>
      </c>
      <c r="C85" s="58">
        <v>1.8138000000000001</v>
      </c>
      <c r="D85" s="58">
        <v>2.556</v>
      </c>
      <c r="E85" s="58">
        <v>1.538</v>
      </c>
      <c r="F85" s="58">
        <v>6.3178000000000001</v>
      </c>
    </row>
    <row r="88" spans="1:10">
      <c r="A88" s="53" t="s">
        <v>88</v>
      </c>
      <c r="B88" t="s">
        <v>105</v>
      </c>
      <c r="C88" t="s">
        <v>106</v>
      </c>
      <c r="D88" t="s">
        <v>107</v>
      </c>
    </row>
    <row r="89" spans="1:10">
      <c r="A89">
        <v>2022</v>
      </c>
      <c r="B89" s="57">
        <v>0.58209999999999995</v>
      </c>
      <c r="C89" s="57">
        <v>0.66669999999999996</v>
      </c>
      <c r="D89">
        <v>0.41</v>
      </c>
    </row>
    <row r="90" spans="1:10" ht="15.95">
      <c r="A90">
        <v>2023</v>
      </c>
      <c r="B90" s="57">
        <v>0.60170000000000001</v>
      </c>
      <c r="C90" s="57">
        <v>1.2161999999999999</v>
      </c>
      <c r="I90" s="61"/>
      <c r="J90" s="57"/>
    </row>
    <row r="91" spans="1:10" ht="15.95">
      <c r="A91">
        <v>2024</v>
      </c>
      <c r="B91" s="57">
        <v>0.63</v>
      </c>
      <c r="C91" s="57">
        <v>0.67310000000000003</v>
      </c>
      <c r="I91" s="61"/>
      <c r="J91" s="57"/>
    </row>
    <row r="92" spans="1:10" ht="15.95">
      <c r="A92" t="s">
        <v>108</v>
      </c>
      <c r="B92" s="57">
        <v>1.8138000000000001</v>
      </c>
      <c r="C92" s="57">
        <v>2.556</v>
      </c>
      <c r="D92">
        <v>0.41</v>
      </c>
      <c r="I92" s="61"/>
      <c r="J92" s="57"/>
    </row>
    <row r="93" spans="1:10" ht="15.95">
      <c r="I93" s="61"/>
    </row>
    <row r="94" spans="1:10" ht="15.95">
      <c r="I94" s="61"/>
    </row>
    <row r="95" spans="1:10" ht="15.95">
      <c r="I95" s="61"/>
    </row>
    <row r="96" spans="1:10" ht="15.95">
      <c r="I96" s="61"/>
    </row>
    <row r="97" spans="9:10" ht="15.95">
      <c r="I97" s="61"/>
      <c r="J97" s="105"/>
    </row>
    <row r="98" spans="9:10" ht="15.95">
      <c r="I98" s="61"/>
      <c r="J98" s="105"/>
    </row>
    <row r="99" spans="9:10" ht="15.95">
      <c r="I99" s="61"/>
      <c r="J99" s="105"/>
    </row>
    <row r="100" spans="9:10" ht="15.95">
      <c r="I100" s="61"/>
      <c r="J100" s="10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Cohen Vescio (24464404)</dc:creator>
  <cp:keywords/>
  <dc:description/>
  <cp:lastModifiedBy/>
  <cp:revision/>
  <dcterms:created xsi:type="dcterms:W3CDTF">2025-09-11T04:01:52Z</dcterms:created>
  <dcterms:modified xsi:type="dcterms:W3CDTF">2026-02-15T15:13:23Z</dcterms:modified>
  <cp:category/>
  <cp:contentStatus/>
</cp:coreProperties>
</file>